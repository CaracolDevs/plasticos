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a 26" state="visible" r:id="rId4"/>
  </sheets>
  <calcPr calcId="171027"/>
</workbook>
</file>

<file path=xl/sharedStrings.xml><?xml version="1.0" encoding="utf-8"?>
<sst xmlns="http://schemas.openxmlformats.org/spreadsheetml/2006/main" count="320" uniqueCount="79">
  <si>
    <t>REPORTE DE PRODUCCIÓN- SOPLADO</t>
  </si>
  <si>
    <t>TURNO:</t>
  </si>
  <si>
    <t>PRIMERO</t>
  </si>
  <si>
    <t>FECHA:</t>
  </si>
  <si>
    <t>INSUMOS:</t>
  </si>
  <si>
    <t>INVENTARIO INICIAL</t>
  </si>
  <si>
    <t>RECIBIDO</t>
  </si>
  <si>
    <t>INVENTARIO FINAL</t>
  </si>
  <si>
    <t>UTILIZADO</t>
  </si>
  <si>
    <t>VALIDACION</t>
  </si>
  <si>
    <t>MATERIA PRIMA:</t>
  </si>
  <si>
    <t>COSTALES</t>
  </si>
  <si>
    <t>CONTENEDOR</t>
  </si>
  <si>
    <t>BOLSA</t>
  </si>
  <si>
    <t>LOTE DE BOLSA</t>
  </si>
  <si>
    <t>LOTE DE MATERIA PRIMA:</t>
  </si>
  <si>
    <t>MAQUINA 1</t>
  </si>
  <si>
    <t>HOROMETRO INICIAL:</t>
  </si>
  <si>
    <t>HOROMETRO FINAL:</t>
  </si>
  <si>
    <t>HRS TRAB</t>
  </si>
  <si>
    <t>TOTALES</t>
  </si>
  <si>
    <t>PRESENTACION</t>
  </si>
  <si>
    <t>MERMA</t>
  </si>
  <si>
    <t>PRODUCCION EN BOLSAS</t>
  </si>
  <si>
    <t>PRODUCCION EN PIEZAS</t>
  </si>
  <si>
    <t>MATERIA PRIMA UTILIZADA</t>
  </si>
  <si>
    <t>LOTE  DE PRODUCCION</t>
  </si>
  <si>
    <t>OPERADOR:</t>
  </si>
  <si>
    <t xml:space="preserve">MAQUINA 2.   </t>
  </si>
  <si>
    <t>LOTE DE PRODUCCION</t>
  </si>
  <si>
    <t>OPERADOR</t>
  </si>
  <si>
    <t>MAQUINA 3</t>
  </si>
  <si>
    <t>REPORTE DE PRODUCCIÓN - INYECCIÓN</t>
  </si>
  <si>
    <t>VICTORIA FIOL</t>
  </si>
  <si>
    <t>(5) INYECCION:</t>
  </si>
  <si>
    <t xml:space="preserve"> </t>
  </si>
  <si>
    <t>INV. INICIAL</t>
  </si>
  <si>
    <t>RECIBIO</t>
  </si>
  <si>
    <t>INV. FINAL</t>
  </si>
  <si>
    <t>LOTES DE INSUMOS</t>
  </si>
  <si>
    <t>BOLSAS PARA TAPADERAS</t>
  </si>
  <si>
    <t>CAJAS PARA TAPADERAS</t>
  </si>
  <si>
    <t>LOTE DE PIGMENTO</t>
  </si>
  <si>
    <t>COLOR DE PIGMENTO</t>
  </si>
  <si>
    <t>COLOR</t>
  </si>
  <si>
    <t>PRODUCCION</t>
  </si>
  <si>
    <t>CAJAS</t>
  </si>
  <si>
    <t>BOLSAS</t>
  </si>
  <si>
    <t>LOTE PRODUCCION</t>
  </si>
  <si>
    <t>INICIAL</t>
  </si>
  <si>
    <t>FINAL</t>
  </si>
  <si>
    <t>HR. TRAB.</t>
  </si>
  <si>
    <t>CICLO MAQUINA</t>
  </si>
  <si>
    <t>CAVIDADES</t>
  </si>
  <si>
    <t>HOROMETRO</t>
  </si>
  <si>
    <t>(4) SOPLADO:</t>
  </si>
  <si>
    <t>UTILIZO</t>
  </si>
  <si>
    <t>MATERIA PRIMA</t>
  </si>
  <si>
    <t>PIGMENTO BCO.-CO-38 952</t>
  </si>
  <si>
    <t xml:space="preserve">BOLSAS </t>
  </si>
  <si>
    <t>PIEZAS</t>
  </si>
  <si>
    <t>MAT. PRIMA</t>
  </si>
  <si>
    <t>TUNEL DE CALOR:</t>
  </si>
  <si>
    <t>ETIQUETAS UTILIZADAS</t>
  </si>
  <si>
    <t xml:space="preserve">  </t>
  </si>
  <si>
    <t>OBSERVACIONES:</t>
  </si>
  <si>
    <t>.</t>
  </si>
  <si>
    <t>SEGUNDO</t>
  </si>
  <si>
    <t>LOTE  DE BOLSAS</t>
  </si>
  <si>
    <t>LITRO</t>
  </si>
  <si>
    <t>LOTE DE `RODUCCION</t>
  </si>
  <si>
    <t>HOROMETRO INICIAL</t>
  </si>
  <si>
    <t>HOROMETRO FINAL</t>
  </si>
  <si>
    <t>HORAS TRABAJADAS</t>
  </si>
  <si>
    <t>1/2 LITRO</t>
  </si>
  <si>
    <t>CAJA</t>
  </si>
  <si>
    <t>LOTE</t>
  </si>
  <si>
    <t>PESO PROMEDIO</t>
  </si>
  <si>
    <t xml:space="preserve">1/4 LITRO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</si>
</sst>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dddd, d&quot; de &quot;mmmm&quot; de &quot;yyyy"/>
    <numFmt numFmtId="165" formatCode="0.000"/>
    <numFmt numFmtId="166" formatCode="00000.0"/>
    <numFmt numFmtId="167" formatCode="0.0"/>
    <numFmt numFmtId="168" formatCode="0000000"/>
    <numFmt numFmtId="169" formatCode="#,##0.000"/>
    <numFmt numFmtId="170" formatCode="_-* #,##0.00_-;-* #,##0.00_-;_-* -??_-;_-@_-"/>
  </numFmts>
  <fonts count="25" x14ac:knownFonts="1">
    <font>
      <color theme="1"/>
      <family val="2"/>
      <scheme val="minor"/>
      <sz val="11"/>
      <name val="Calibri"/>
    </font>
    <font>
      <b/>
      <family val="2"/>
      <sz val="18"/>
      <name val="Calibri"/>
    </font>
    <font>
      <family val="2"/>
      <sz val="10"/>
      <name val="Arial"/>
    </font>
    <font>
      <b/>
      <family val="2"/>
      <sz val="12"/>
      <name val="Calibri"/>
    </font>
    <font>
      <u/>
      <family val="2"/>
      <sz val="12"/>
      <name val="Calibri"/>
    </font>
    <font>
      <b/>
      <family val="1"/>
      <sz val="11"/>
      <name val="Bell MT"/>
    </font>
    <font>
      <b/>
      <family val="1"/>
      <sz val="12"/>
      <name val="Bell MT"/>
    </font>
    <font>
      <b/>
      <family val="1"/>
      <sz val="10"/>
      <name val="Bell MT"/>
    </font>
    <font>
      <b/>
      <color theme="1"/>
      <family val="1"/>
      <sz val="10"/>
      <name val="Bell MT"/>
    </font>
    <font>
      <family val="2"/>
      <sz val="11"/>
      <name val="Calibri"/>
    </font>
    <font>
      <family val="2"/>
      <sz val="10"/>
      <name val="Calibri"/>
    </font>
    <font>
      <family val="2"/>
      <sz val="12"/>
      <name val="Calibri"/>
    </font>
    <font>
      <b/>
      <family val="2"/>
      <sz val="11"/>
      <name val="Calibri"/>
    </font>
    <font>
      <b/>
      <family val="2"/>
      <sz val="10"/>
      <name val="Calibri"/>
    </font>
    <font>
      <b/>
      <u/>
      <family val="2"/>
      <sz val="12"/>
      <name val="Calibri"/>
    </font>
    <font>
      <family val="2"/>
      <sz val="9"/>
      <name val="Calibri"/>
    </font>
    <font>
      <family val="2"/>
      <sz val="8"/>
      <name val="Calibri"/>
    </font>
    <font>
      <u/>
      <family val="2"/>
      <sz val="11"/>
      <name val="Calibri"/>
    </font>
    <font>
      <color theme="1" tint="0.2499"/>
      <family val="2"/>
      <sz val="10"/>
      <name val="Calibri"/>
    </font>
    <font>
      <color theme="1"/>
      <family val="2"/>
      <sz val="14"/>
      <name val="Calibri"/>
    </font>
    <font>
      <u/>
      <family val="2"/>
      <sz val="10"/>
      <name val="Calibri"/>
    </font>
    <font>
      <b/>
      <family val="2"/>
      <sz val="14"/>
      <name val="Calibri"/>
    </font>
    <font>
      <b/>
      <u/>
      <family val="2"/>
      <sz val="11"/>
      <name val="Calibri"/>
    </font>
    <font>
      <b/>
      <color theme="1"/>
      <family val="2"/>
      <sz val="12"/>
      <name val="Calibri"/>
    </font>
    <font>
      <color theme="1"/>
      <family val="2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2" tint="-0.1"/>
        <bgColor rgb="FFD9D9D9"/>
      </patternFill>
    </fill>
    <fill>
      <patternFill patternType="solid">
        <fgColor theme="0"/>
        <bgColor rgb="FFFFFFCC"/>
      </patternFill>
    </fill>
    <fill>
      <patternFill patternType="solid">
        <fgColor theme="9" tint="0.3999"/>
        <bgColor rgb="FFD0CECE"/>
      </patternFill>
    </fill>
    <fill>
      <patternFill patternType="solid">
        <fgColor theme="0" tint="-0.35"/>
        <bgColor rgb="FF9999FF"/>
      </patternFill>
    </fill>
    <fill>
      <patternFill patternType="solid">
        <fgColor theme="0" tint="-0.15"/>
        <bgColor rgb="FFD0CECE"/>
      </patternFill>
    </fill>
  </fills>
  <borders count="2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medium"/>
      <top style="medium"/>
      <bottom style="medium"/>
      <diagonal/>
    </border>
    <border>
      <left style="medium"/>
      <right/>
      <top style="medium"/>
      <bottom style="medium"/>
      <diagonal/>
    </border>
    <border>
      <left style="thin"/>
      <right style="thin"/>
      <top style="medium"/>
      <bottom style="thin"/>
      <diagonal/>
    </border>
    <border>
      <left/>
      <right/>
      <top style="medium"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medium"/>
      <bottom style="thin"/>
      <diagonal/>
    </border>
    <border>
      <left style="thin"/>
      <right style="thin"/>
      <top/>
      <bottom style="thin"/>
      <diagonal/>
    </border>
    <border>
      <left style="thin"/>
      <right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 style="thin"/>
      <diagonal/>
    </border>
    <border>
      <left style="medium"/>
      <right style="thin"/>
      <top style="thin"/>
      <bottom/>
      <diagonal/>
    </border>
    <border>
      <left style="thin"/>
      <right style="thin"/>
      <top style="thin"/>
      <bottom/>
      <diagonal/>
    </border>
    <border>
      <left/>
      <right/>
      <top style="thin"/>
      <bottom style="thin"/>
      <diagonal/>
    </border>
    <border>
      <left style="medium"/>
      <right style="medium"/>
      <top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</borders>
  <cellStyleXfs count="1">
    <xf numFmtId="0" fontId="0" fillId="0" borderId="0"/>
  </cellStyleXfs>
  <cellXfs count="17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bottom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right" vertical="bottom"/>
    </xf>
    <xf numFmtId="0" fontId="4" fillId="3" borderId="0" xfId="0" applyFont="1" applyFill="1" applyAlignment="1">
      <alignment horizontal="center" vertical="bottom"/>
    </xf>
    <xf numFmtId="164" fontId="4" fillId="3" borderId="0" xfId="0" applyNumberFormat="1" applyFont="1" applyFill="1" applyAlignment="1">
      <alignment horizontal="left" vertical="bottom"/>
    </xf>
    <xf numFmtId="0" fontId="5" fillId="3" borderId="1" xfId="0" applyFont="1" applyFill="1" applyBorder="1" applyAlignment="1">
      <alignment vertical="bottom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bottom"/>
    </xf>
    <xf numFmtId="0" fontId="7" fillId="3" borderId="1" xfId="0" applyFont="1" applyFill="1" applyBorder="1" applyAlignment="1">
      <alignment vertical="bottom"/>
    </xf>
    <xf numFmtId="0" fontId="8" fillId="3" borderId="1" xfId="0" applyFont="1" applyFill="1" applyBorder="1" applyAlignment="1">
      <alignment vertical="bottom"/>
    </xf>
    <xf numFmtId="0" fontId="9" fillId="3" borderId="1" xfId="0" applyFont="1" applyFill="1" applyBorder="1" applyAlignment="1">
      <alignment vertical="bottom"/>
    </xf>
    <xf numFmtId="0" fontId="10" fillId="3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bottom"/>
    </xf>
    <xf numFmtId="0" fontId="3" fillId="3" borderId="1" xfId="0" applyFont="1" applyFill="1" applyBorder="1" applyAlignment="1">
      <alignment vertical="bottom"/>
    </xf>
    <xf numFmtId="165" fontId="3" fillId="4" borderId="1" xfId="0" applyNumberFormat="1" applyFont="1" applyFill="1" applyBorder="1" applyAlignment="1">
      <alignment horizontal="center" vertical="bottom"/>
    </xf>
    <xf numFmtId="165" fontId="3" fillId="3" borderId="1" xfId="0" applyNumberFormat="1" applyFont="1" applyFill="1" applyBorder="1" applyAlignment="1">
      <alignment vertical="bottom"/>
    </xf>
    <xf numFmtId="0" fontId="2" fillId="3" borderId="1" xfId="0" applyFont="1" applyFill="1" applyBorder="1" applyAlignment="1">
      <alignment vertical="bottom"/>
    </xf>
    <xf numFmtId="0" fontId="12" fillId="3" borderId="1" xfId="0" applyFont="1" applyFill="1" applyBorder="1" applyAlignment="1">
      <alignment vertical="bottom"/>
    </xf>
    <xf numFmtId="0" fontId="13" fillId="3" borderId="1" xfId="0" applyFont="1" applyFill="1" applyBorder="1" applyAlignment="1">
      <alignment horizontal="left" vertical="bottom"/>
    </xf>
    <xf numFmtId="0" fontId="3" fillId="3" borderId="1" xfId="0" applyFont="1" applyFill="1" applyBorder="1" applyAlignment="1">
      <alignment horizontal="center" vertical="bottom"/>
    </xf>
    <xf numFmtId="0" fontId="3" fillId="0" borderId="1" xfId="0" applyFont="1" applyBorder="1" applyAlignment="1">
      <alignment horizontal="center" vertical="bottom"/>
    </xf>
    <xf numFmtId="0" fontId="12" fillId="0" borderId="1" xfId="0" applyFont="1" applyBorder="1" applyAlignment="1">
      <alignment vertical="bottom"/>
    </xf>
    <xf numFmtId="4" fontId="13" fillId="0" borderId="1" xfId="0" applyNumberFormat="1" applyFont="1" applyBorder="1" applyAlignment="1">
      <alignment horizontal="center" vertical="bottom"/>
    </xf>
    <xf numFmtId="3" fontId="11" fillId="0" borderId="1" xfId="0" applyNumberFormat="1" applyFont="1" applyBorder="1" applyAlignment="1">
      <alignment horizontal="center" vertical="bottom"/>
    </xf>
    <xf numFmtId="4" fontId="3" fillId="4" borderId="1" xfId="0" applyNumberFormat="1" applyFont="1" applyFill="1" applyBorder="1" applyAlignment="1">
      <alignment horizontal="center" vertical="bottom"/>
    </xf>
    <xf numFmtId="4" fontId="3" fillId="0" borderId="1" xfId="0" applyNumberFormat="1" applyFont="1" applyBorder="1" applyAlignment="1">
      <alignment horizontal="center" vertical="bottom"/>
    </xf>
    <xf numFmtId="3" fontId="3" fillId="0" borderId="1" xfId="0" applyNumberFormat="1" applyFont="1" applyBorder="1" applyAlignment="1">
      <alignment horizontal="center" vertical="bottom"/>
    </xf>
    <xf numFmtId="3" fontId="11" fillId="0" borderId="0" xfId="0" applyNumberFormat="1" applyFont="1" applyAlignment="1">
      <alignment horizontal="center" vertical="bottom"/>
    </xf>
    <xf numFmtId="3" fontId="3" fillId="0" borderId="0" xfId="0" applyNumberFormat="1" applyFont="1" applyAlignment="1">
      <alignment horizontal="center" vertical="bottom"/>
    </xf>
    <xf numFmtId="4" fontId="3" fillId="0" borderId="0" xfId="0" applyNumberFormat="1" applyFont="1" applyAlignment="1">
      <alignment horizontal="center" vertical="bottom"/>
    </xf>
    <xf numFmtId="0" fontId="9" fillId="3" borderId="0" xfId="0" applyFont="1" applyFill="1" applyAlignment="1">
      <alignment vertical="bottom"/>
    </xf>
    <xf numFmtId="0" fontId="11" fillId="3" borderId="0" xfId="0" applyFont="1" applyFill="1" applyAlignment="1">
      <alignment horizontal="left" vertical="bottom"/>
    </xf>
    <xf numFmtId="0" fontId="4" fillId="3" borderId="0" xfId="0" applyFont="1" applyFill="1" applyAlignment="1">
      <alignment horizontal="right" vertical="bottom"/>
    </xf>
    <xf numFmtId="0" fontId="14" fillId="3" borderId="0" xfId="0" applyFont="1" applyFill="1" applyAlignment="1">
      <alignment horizontal="center" vertical="bottom"/>
    </xf>
    <xf numFmtId="0" fontId="11" fillId="3" borderId="0" xfId="0" applyFont="1" applyFill="1" applyAlignment="1">
      <alignment horizontal="center" vertical="bottom"/>
    </xf>
    <xf numFmtId="0" fontId="11" fillId="3" borderId="0" xfId="0" applyFont="1" applyFill="1" applyAlignment="1">
      <alignment vertical="bottom"/>
    </xf>
    <xf numFmtId="0" fontId="9" fillId="3" borderId="2" xfId="0" applyFont="1" applyFill="1" applyBorder="1" applyAlignment="1">
      <alignment vertical="bottom"/>
    </xf>
    <xf numFmtId="0" fontId="15" fillId="3" borderId="3" xfId="0" applyFont="1" applyFill="1" applyBorder="1" applyAlignment="1">
      <alignment vertical="bottom"/>
    </xf>
    <xf numFmtId="0" fontId="15" fillId="4" borderId="4" xfId="0" applyFont="1" applyFill="1" applyBorder="1" applyAlignment="1">
      <alignment vertical="bottom"/>
    </xf>
    <xf numFmtId="0" fontId="15" fillId="3" borderId="5" xfId="0" applyFont="1" applyFill="1" applyBorder="1" applyAlignment="1">
      <alignment vertical="bottom"/>
    </xf>
    <xf numFmtId="166" fontId="11" fillId="4" borderId="3" xfId="0" applyNumberFormat="1" applyFont="1" applyFill="1" applyBorder="1" applyAlignment="1">
      <alignment horizontal="center" vertical="bottom"/>
    </xf>
    <xf numFmtId="0" fontId="11" fillId="3" borderId="2" xfId="0" applyFont="1" applyFill="1" applyBorder="1" applyAlignment="1">
      <alignment horizontal="center" vertical="bottom"/>
    </xf>
    <xf numFmtId="167" fontId="3" fillId="5" borderId="2" xfId="0" applyNumberFormat="1" applyFont="1" applyFill="1" applyBorder="1" applyAlignment="1">
      <alignment horizontal="center" vertical="bottom"/>
    </xf>
    <xf numFmtId="0" fontId="3" fillId="5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vertical="bottom"/>
    </xf>
    <xf numFmtId="0" fontId="12" fillId="3" borderId="4" xfId="0" applyFont="1" applyFill="1" applyBorder="1" applyAlignment="1">
      <alignment horizontal="center" vertical="bottom"/>
    </xf>
    <xf numFmtId="0" fontId="11" fillId="3" borderId="8" xfId="0" applyFont="1" applyFill="1" applyBorder="1" applyAlignment="1">
      <alignment horizontal="center" vertical="bottom"/>
    </xf>
    <xf numFmtId="0" fontId="11" fillId="3" borderId="4" xfId="0" applyFont="1" applyFill="1" applyBorder="1" applyAlignment="1">
      <alignment horizontal="center" vertical="bottom"/>
    </xf>
    <xf numFmtId="0" fontId="11" fillId="3" borderId="9" xfId="0" applyFont="1" applyFill="1" applyBorder="1" applyAlignment="1">
      <alignment horizontal="center" vertical="bottom"/>
    </xf>
    <xf numFmtId="0" fontId="3" fillId="3" borderId="6" xfId="0" applyFont="1" applyFill="1" applyBorder="1" applyAlignment="1">
      <alignment horizontal="center" vertical="bottom"/>
    </xf>
    <xf numFmtId="0" fontId="9" fillId="3" borderId="10" xfId="0" applyFont="1" applyFill="1" applyBorder="1" applyAlignment="1">
      <alignment vertical="bottom"/>
    </xf>
    <xf numFmtId="0" fontId="11" fillId="3" borderId="1" xfId="0" applyFont="1" applyFill="1" applyBorder="1" applyAlignment="1">
      <alignment horizontal="center" vertical="bottom"/>
    </xf>
    <xf numFmtId="3" fontId="11" fillId="3" borderId="11" xfId="0" applyNumberFormat="1" applyFont="1" applyFill="1" applyBorder="1" applyAlignment="1">
      <alignment horizontal="center" vertical="bottom"/>
    </xf>
    <xf numFmtId="0" fontId="11" fillId="3" borderId="12" xfId="0" applyFont="1" applyFill="1" applyBorder="1" applyAlignment="1">
      <alignment horizontal="center" vertical="bottom"/>
    </xf>
    <xf numFmtId="0" fontId="3" fillId="5" borderId="12" xfId="0" applyFont="1" applyFill="1" applyBorder="1" applyAlignment="1">
      <alignment horizontal="center" vertical="bottom"/>
    </xf>
    <xf numFmtId="3" fontId="3" fillId="5" borderId="1" xfId="0" applyNumberFormat="1" applyFont="1" applyFill="1" applyBorder="1" applyAlignment="1">
      <alignment horizontal="center" vertical="bottom"/>
    </xf>
    <xf numFmtId="3" fontId="11" fillId="3" borderId="12" xfId="0" applyNumberFormat="1" applyFont="1" applyFill="1" applyBorder="1" applyAlignment="1">
      <alignment horizontal="center" vertical="bottom"/>
    </xf>
    <xf numFmtId="165" fontId="11" fillId="3" borderId="1" xfId="0" applyNumberFormat="1" applyFont="1" applyFill="1" applyBorder="1" applyAlignment="1">
      <alignment horizontal="center" vertical="bottom"/>
    </xf>
    <xf numFmtId="1" fontId="11" fillId="3" borderId="1" xfId="0" applyNumberFormat="1" applyFont="1" applyFill="1" applyBorder="1" applyAlignment="1">
      <alignment horizontal="center" vertical="bottom"/>
    </xf>
    <xf numFmtId="0" fontId="15" fillId="3" borderId="1" xfId="0" applyFont="1" applyFill="1" applyBorder="1" applyAlignment="1">
      <alignment vertical="bottom"/>
    </xf>
    <xf numFmtId="0" fontId="16" fillId="3" borderId="13" xfId="0" applyFont="1" applyFill="1" applyBorder="1" applyAlignment="1">
      <alignment vertical="bottom" wrapText="1"/>
    </xf>
    <xf numFmtId="0" fontId="2" fillId="0" borderId="0" xfId="0" applyFont="1" applyAlignment="1">
      <alignment vertical="bottom"/>
    </xf>
    <xf numFmtId="2" fontId="11" fillId="0" borderId="0" xfId="0" applyNumberFormat="1" applyFont="1" applyAlignment="1">
      <alignment horizontal="center" vertical="bottom"/>
    </xf>
    <xf numFmtId="2" fontId="17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center" vertical="bottom"/>
    </xf>
    <xf numFmtId="2" fontId="4" fillId="0" borderId="0" xfId="0" applyNumberFormat="1" applyFont="1" applyAlignment="1">
      <alignment horizontal="center" vertical="bottom"/>
    </xf>
    <xf numFmtId="1" fontId="4" fillId="0" borderId="0" xfId="0" applyNumberFormat="1" applyFont="1" applyAlignment="1">
      <alignment horizontal="center" vertical="bottom"/>
    </xf>
    <xf numFmtId="0" fontId="3" fillId="5" borderId="14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bottom"/>
    </xf>
    <xf numFmtId="0" fontId="3" fillId="5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vertical="bottom"/>
    </xf>
    <xf numFmtId="2" fontId="11" fillId="3" borderId="17" xfId="0" applyNumberFormat="1" applyFont="1" applyFill="1" applyBorder="1" applyAlignment="1">
      <alignment horizontal="center" vertical="bottom"/>
    </xf>
    <xf numFmtId="2" fontId="3" fillId="5" borderId="12" xfId="0" applyNumberFormat="1" applyFont="1" applyFill="1" applyBorder="1" applyAlignment="1">
      <alignment horizontal="center" vertical="bottom"/>
    </xf>
    <xf numFmtId="0" fontId="9" fillId="0" borderId="0" xfId="0" applyFont="1" applyAlignment="1">
      <alignment vertical="bottom"/>
    </xf>
    <xf numFmtId="0" fontId="11" fillId="0" borderId="0" xfId="0" applyFont="1" applyAlignment="1">
      <alignment horizontal="right" vertical="bottom"/>
    </xf>
    <xf numFmtId="166" fontId="11" fillId="0" borderId="0" xfId="0" applyNumberFormat="1" applyFont="1" applyAlignment="1">
      <alignment horizontal="center" vertical="bottom"/>
    </xf>
    <xf numFmtId="0" fontId="11" fillId="0" borderId="0" xfId="0" applyFont="1" applyAlignment="1">
      <alignment horizontal="center" vertical="bottom"/>
    </xf>
    <xf numFmtId="167" fontId="3" fillId="0" borderId="0" xfId="0" applyNumberFormat="1" applyFont="1" applyAlignment="1">
      <alignment horizontal="center" vertical="bottom"/>
    </xf>
    <xf numFmtId="0" fontId="3" fillId="0" borderId="0" xfId="0" applyFont="1" applyAlignment="1">
      <alignment horizontal="center" vertical="center"/>
    </xf>
    <xf numFmtId="165" fontId="2" fillId="3" borderId="1" xfId="0" applyNumberFormat="1" applyFont="1" applyFill="1" applyBorder="1" applyAlignment="1">
      <alignment vertical="bottom"/>
    </xf>
    <xf numFmtId="4" fontId="11" fillId="0" borderId="1" xfId="0" applyNumberFormat="1" applyFont="1" applyBorder="1" applyAlignment="1">
      <alignment horizontal="center" vertical="bottom"/>
    </xf>
    <xf numFmtId="0" fontId="11" fillId="3" borderId="2" xfId="0" applyFont="1" applyFill="1" applyBorder="1" applyAlignment="1">
      <alignment horizontal="right" vertical="bottom"/>
    </xf>
    <xf numFmtId="166" fontId="11" fillId="3" borderId="3" xfId="0" applyNumberFormat="1" applyFont="1" applyFill="1" applyBorder="1" applyAlignment="1">
      <alignment horizontal="center" vertical="bottom"/>
    </xf>
    <xf numFmtId="0" fontId="16" fillId="3" borderId="3" xfId="0" applyFont="1" applyFill="1" applyBorder="1" applyAlignment="1">
      <alignment horizontal="right" vertical="bottom"/>
    </xf>
    <xf numFmtId="2" fontId="11" fillId="3" borderId="1" xfId="0" applyNumberFormat="1" applyFont="1" applyFill="1" applyBorder="1" applyAlignment="1">
      <alignment horizontal="center" vertical="bottom"/>
    </xf>
    <xf numFmtId="165" fontId="3" fillId="5" borderId="12" xfId="0" applyNumberFormat="1" applyFont="1" applyFill="1" applyBorder="1" applyAlignment="1">
      <alignment horizontal="center" vertical="bottom"/>
    </xf>
    <xf numFmtId="0" fontId="16" fillId="3" borderId="12" xfId="0" applyFont="1" applyFill="1" applyBorder="1" applyAlignment="1">
      <alignment horizontal="center" vertical="bottom" wrapText="1"/>
    </xf>
    <xf numFmtId="0" fontId="11" fillId="0" borderId="0" xfId="0" applyFont="1" applyAlignment="1">
      <alignment horizontal="left" vertical="bottom"/>
    </xf>
    <xf numFmtId="0" fontId="9" fillId="0" borderId="0" xfId="0" applyFont="1" applyAlignment="1">
      <alignment horizontal="left" vertical="bottom"/>
    </xf>
    <xf numFmtId="0" fontId="11" fillId="0" borderId="0" xfId="0" applyFont="1" applyAlignment="1">
      <alignment vertical="bottom"/>
    </xf>
    <xf numFmtId="0" fontId="18" fillId="0" borderId="0" xfId="0" applyFont="1" applyAlignment="1">
      <alignment horizontal="left" vertical="bottom"/>
    </xf>
    <xf numFmtId="2" fontId="19" fillId="3" borderId="0" xfId="0" applyNumberFormat="1" applyFont="1" applyFill="1" applyAlignment="1">
      <alignment vertical="bottom"/>
    </xf>
    <xf numFmtId="0" fontId="19" fillId="3" borderId="0" xfId="0" applyFont="1" applyFill="1" applyAlignment="1">
      <alignment vertical="bottom"/>
    </xf>
    <xf numFmtId="0" fontId="1" fillId="2" borderId="0" xfId="0" applyFont="1" applyFill="1" applyAlignment="1">
      <alignment horizontal="center" vertical="bottom"/>
    </xf>
    <xf numFmtId="0" fontId="9" fillId="3" borderId="0" xfId="0" applyFont="1" applyFill="1" applyAlignment="1">
      <alignment horizontal="center" vertical="bottom"/>
    </xf>
    <xf numFmtId="0" fontId="9" fillId="3" borderId="0" xfId="0" applyFont="1" applyFill="1" applyAlignment="1">
      <alignment horizontal="right" vertical="bottom"/>
    </xf>
    <xf numFmtId="0" fontId="20" fillId="3" borderId="0" xfId="0" applyFont="1" applyFill="1" applyAlignment="1">
      <alignment vertical="bottom"/>
    </xf>
    <xf numFmtId="0" fontId="17" fillId="3" borderId="0" xfId="0" applyFont="1" applyFill="1" applyAlignment="1">
      <alignment horizontal="left" vertical="bottom"/>
    </xf>
    <xf numFmtId="164" fontId="17" fillId="3" borderId="0" xfId="0" applyNumberFormat="1" applyFont="1" applyFill="1" applyAlignment="1">
      <alignment horizontal="left" vertical="bottom"/>
    </xf>
    <xf numFmtId="0" fontId="21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top"/>
    </xf>
    <xf numFmtId="0" fontId="9" fillId="3" borderId="0" xfId="0" applyFont="1" applyFill="1" applyAlignment="1">
      <alignment vertical="top"/>
    </xf>
    <xf numFmtId="0" fontId="9" fillId="3" borderId="1" xfId="0" applyFont="1" applyFill="1" applyBorder="1" applyAlignment="1">
      <alignment horizontal="center" vertical="bottom"/>
    </xf>
    <xf numFmtId="1" fontId="11" fillId="3" borderId="11" xfId="0" applyNumberFormat="1" applyFont="1" applyFill="1" applyBorder="1" applyAlignment="1">
      <alignment horizontal="center" vertical="bottom"/>
    </xf>
    <xf numFmtId="0" fontId="2" fillId="0" borderId="0" xfId="0" applyFont="1" applyAlignment="1">
      <alignment horizontal="center" vertical="bottom"/>
    </xf>
    <xf numFmtId="0" fontId="15" fillId="3" borderId="0" xfId="0" applyFont="1" applyFill="1" applyAlignment="1">
      <alignment horizontal="center" vertical="bottom"/>
    </xf>
    <xf numFmtId="0" fontId="3" fillId="3" borderId="0" xfId="0" applyFont="1" applyFill="1" applyAlignment="1">
      <alignment horizontal="center" vertical="bottom"/>
    </xf>
    <xf numFmtId="1" fontId="11" fillId="3" borderId="0" xfId="0" applyNumberFormat="1" applyFont="1" applyFill="1" applyAlignment="1">
      <alignment horizontal="right" vertical="bottom"/>
    </xf>
    <xf numFmtId="168" fontId="11" fillId="3" borderId="1" xfId="0" applyNumberFormat="1" applyFont="1" applyFill="1" applyBorder="1" applyAlignment="1">
      <alignment horizontal="center" vertical="bottom"/>
    </xf>
    <xf numFmtId="165" fontId="11" fillId="3" borderId="1" xfId="0" applyNumberFormat="1" applyFont="1" applyFill="1" applyBorder="1" applyAlignment="1">
      <alignment horizontal="right" vertical="bottom"/>
    </xf>
    <xf numFmtId="0" fontId="4" fillId="3" borderId="18" xfId="0" applyFont="1" applyFill="1" applyBorder="1" applyAlignment="1">
      <alignment horizontal="right" vertical="bottom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vertical="bottom"/>
    </xf>
    <xf numFmtId="0" fontId="12" fillId="5" borderId="0" xfId="0" applyFont="1" applyFill="1" applyAlignment="1">
      <alignment horizontal="center" vertical="bottom"/>
    </xf>
    <xf numFmtId="3" fontId="11" fillId="6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2" fillId="5" borderId="0" xfId="0" applyFont="1" applyFill="1" applyAlignment="1">
      <alignment horizontal="center" vertical="bottom"/>
    </xf>
    <xf numFmtId="3" fontId="11" fillId="3" borderId="1" xfId="0" applyNumberFormat="1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bottom"/>
    </xf>
    <xf numFmtId="0" fontId="11" fillId="3" borderId="0" xfId="0" applyFont="1" applyFill="1" applyAlignment="1">
      <alignment horizontal="right" vertical="bottom"/>
    </xf>
    <xf numFmtId="0" fontId="16" fillId="3" borderId="1" xfId="0" applyFont="1" applyFill="1" applyBorder="1" applyAlignment="1">
      <alignment horizontal="center" vertical="bottom"/>
    </xf>
    <xf numFmtId="4" fontId="11" fillId="3" borderId="1" xfId="0" applyNumberFormat="1" applyFont="1" applyFill="1" applyBorder="1" applyAlignment="1">
      <alignment horizontal="center" vertical="bottom"/>
    </xf>
    <xf numFmtId="169" fontId="11" fillId="3" borderId="1" xfId="0" applyNumberFormat="1" applyFont="1" applyFill="1" applyBorder="1" applyAlignment="1">
      <alignment horizontal="center" vertical="bottom"/>
    </xf>
    <xf numFmtId="1" fontId="12" fillId="3" borderId="0" xfId="0" applyNumberFormat="1" applyFont="1" applyFill="1" applyAlignment="1">
      <alignment horizontal="center" vertical="bottom"/>
    </xf>
    <xf numFmtId="3" fontId="11" fillId="3" borderId="1" xfId="0" applyNumberFormat="1" applyFont="1" applyFill="1" applyBorder="1" applyAlignment="1">
      <alignment horizontal="center" vertical="bottom"/>
    </xf>
    <xf numFmtId="0" fontId="9" fillId="3" borderId="1" xfId="0" applyFont="1" applyFill="1" applyBorder="1" applyAlignment="1">
      <alignment horizontal="right" vertical="bottom"/>
    </xf>
    <xf numFmtId="165" fontId="3" fillId="3" borderId="1" xfId="0" applyNumberFormat="1" applyFont="1" applyFill="1" applyBorder="1" applyAlignment="1">
      <alignment horizontal="center" vertical="bottom"/>
    </xf>
    <xf numFmtId="1" fontId="3" fillId="3" borderId="1" xfId="0" applyNumberFormat="1" applyFont="1" applyFill="1" applyBorder="1" applyAlignment="1">
      <alignment horizontal="center" vertical="bottom"/>
    </xf>
    <xf numFmtId="4" fontId="11" fillId="3" borderId="0" xfId="0" applyNumberFormat="1" applyFont="1" applyFill="1" applyAlignment="1">
      <alignment horizontal="center" vertical="bottom"/>
    </xf>
    <xf numFmtId="1" fontId="11" fillId="3" borderId="0" xfId="0" applyNumberFormat="1" applyFont="1" applyFill="1" applyAlignment="1">
      <alignment horizontal="center" vertical="bottom"/>
    </xf>
    <xf numFmtId="167" fontId="11" fillId="3" borderId="1" xfId="0" applyNumberFormat="1" applyFont="1" applyFill="1" applyBorder="1" applyAlignment="1">
      <alignment horizontal="center" vertical="bottom"/>
    </xf>
    <xf numFmtId="2" fontId="11" fillId="3" borderId="0" xfId="0" applyNumberFormat="1" applyFont="1" applyFill="1" applyAlignment="1">
      <alignment horizontal="center" vertical="bottom"/>
    </xf>
    <xf numFmtId="166" fontId="11" fillId="3" borderId="0" xfId="0" applyNumberFormat="1" applyFont="1" applyFill="1" applyAlignment="1">
      <alignment horizontal="center" vertical="bottom"/>
    </xf>
    <xf numFmtId="167" fontId="11" fillId="3" borderId="0" xfId="0" applyNumberFormat="1" applyFont="1" applyFill="1" applyAlignment="1">
      <alignment horizontal="center" vertical="bottom"/>
    </xf>
    <xf numFmtId="0" fontId="10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" fontId="14" fillId="5" borderId="0" xfId="0" applyNumberFormat="1" applyFont="1" applyFill="1" applyAlignment="1">
      <alignment horizontal="center" vertical="bottom"/>
    </xf>
    <xf numFmtId="166" fontId="11" fillId="3" borderId="1" xfId="0" applyNumberFormat="1" applyFont="1" applyFill="1" applyBorder="1" applyAlignment="1">
      <alignment horizontal="center" vertical="bottom"/>
    </xf>
    <xf numFmtId="167" fontId="3" fillId="3" borderId="1" xfId="0" applyNumberFormat="1" applyFont="1" applyFill="1" applyBorder="1" applyAlignment="1">
      <alignment horizontal="center" vertical="bottom"/>
    </xf>
    <xf numFmtId="0" fontId="17" fillId="3" borderId="0" xfId="0" applyFont="1" applyFill="1" applyAlignment="1">
      <alignment horizontal="right" vertical="bottom"/>
    </xf>
    <xf numFmtId="0" fontId="22" fillId="3" borderId="0" xfId="0" applyFont="1" applyFill="1" applyAlignment="1">
      <alignment horizontal="center" vertical="bottom"/>
    </xf>
    <xf numFmtId="0" fontId="9" fillId="3" borderId="14" xfId="0" applyFont="1" applyFill="1" applyBorder="1" applyAlignment="1">
      <alignment horizontal="left" vertical="bottom"/>
    </xf>
    <xf numFmtId="0" fontId="11" fillId="3" borderId="19" xfId="0" applyFont="1" applyFill="1" applyBorder="1" applyAlignment="1">
      <alignment horizontal="left" vertical="bottom"/>
    </xf>
    <xf numFmtId="0" fontId="9" fillId="3" borderId="19" xfId="0" applyFont="1" applyFill="1" applyBorder="1" applyAlignment="1">
      <alignment horizontal="left" vertical="bottom"/>
    </xf>
    <xf numFmtId="170" fontId="12" fillId="3" borderId="19" xfId="0" applyNumberFormat="1" applyFont="1" applyFill="1" applyBorder="1" applyAlignment="1">
      <alignment vertical="center"/>
    </xf>
    <xf numFmtId="0" fontId="18" fillId="3" borderId="20" xfId="0" applyFont="1" applyFill="1" applyBorder="1" applyAlignment="1">
      <alignment horizontal="center" vertical="bottom"/>
    </xf>
    <xf numFmtId="0" fontId="23" fillId="3" borderId="0" xfId="0" applyFont="1" applyFill="1" applyAlignment="1">
      <alignment horizontal="right" vertical="bottom"/>
    </xf>
    <xf numFmtId="10" fontId="23" fillId="3" borderId="0" xfId="0" applyNumberFormat="1" applyFont="1" applyFill="1" applyAlignment="1">
      <alignment horizontal="left" vertical="bottom"/>
    </xf>
    <xf numFmtId="10" fontId="23" fillId="3" borderId="21" xfId="0" applyNumberFormat="1" applyFont="1" applyFill="1" applyBorder="1" applyAlignment="1">
      <alignment horizontal="left" vertical="bottom"/>
    </xf>
    <xf numFmtId="0" fontId="2" fillId="3" borderId="22" xfId="0" applyFont="1" applyFill="1" applyBorder="1" applyAlignment="1">
      <alignment vertical="bottom"/>
    </xf>
    <xf numFmtId="10" fontId="24" fillId="3" borderId="23" xfId="0" applyNumberFormat="1" applyFont="1" applyFill="1" applyBorder="1" applyAlignment="1">
      <alignment vertical="bottom"/>
    </xf>
    <xf numFmtId="0" fontId="2" fillId="3" borderId="23" xfId="0" applyFont="1" applyFill="1" applyBorder="1" applyAlignment="1">
      <alignment vertical="bottom"/>
    </xf>
    <xf numFmtId="10" fontId="2" fillId="3" borderId="24" xfId="0" applyNumberFormat="1" applyFont="1" applyFill="1" applyBorder="1" applyAlignment="1">
      <alignment vertical="bottom"/>
    </xf>
    <xf numFmtId="0" fontId="15" fillId="3" borderId="16" xfId="0" applyFont="1" applyFill="1" applyBorder="1" applyAlignment="1">
      <alignment vertical="bottom"/>
    </xf>
    <xf numFmtId="0" fontId="9" fillId="3" borderId="12" xfId="0" applyFont="1" applyFill="1" applyBorder="1" applyAlignment="1">
      <alignment horizontal="center" vertical="bottom" wrapText="1"/>
    </xf>
    <xf numFmtId="0" fontId="10" fillId="3" borderId="1" xfId="0" applyFont="1" applyFill="1" applyBorder="1" applyAlignment="1">
      <alignment horizontal="center" vertical="bottom"/>
    </xf>
    <xf numFmtId="0" fontId="1" fillId="3" borderId="0" xfId="0" applyFont="1" applyFill="1" applyAlignment="1">
      <alignment horizontal="center" vertical="bottom"/>
    </xf>
    <xf numFmtId="0" fontId="17" fillId="3" borderId="0" xfId="0" applyFont="1" applyFill="1" applyAlignment="1">
      <alignment vertical="bottom"/>
    </xf>
    <xf numFmtId="3" fontId="22" fillId="5" borderId="0" xfId="0" applyNumberFormat="1" applyFont="1" applyFill="1" applyAlignment="1">
      <alignment horizontal="center" vertical="bottom"/>
    </xf>
    <xf numFmtId="0" fontId="22" fillId="0" borderId="0" xfId="0" applyFont="1" applyAlignment="1">
      <alignment horizontal="center" vertical="bottom"/>
    </xf>
    <xf numFmtId="1" fontId="11" fillId="3" borderId="0" xfId="0" applyNumberFormat="1" applyFont="1" applyFill="1" applyAlignment="1">
      <alignment horizontal="left" vertical="bottom"/>
    </xf>
    <xf numFmtId="0" fontId="9" fillId="3" borderId="1" xfId="0" applyFont="1" applyFill="1" applyBorder="1" applyAlignment="1">
      <alignment horizontal="center" vertical="bottom" wrapText="1"/>
    </xf>
    <xf numFmtId="0" fontId="11" fillId="3" borderId="14" xfId="0" applyFont="1" applyFill="1" applyBorder="1" applyAlignment="1">
      <alignment horizontal="left" vertical="bottom"/>
    </xf>
    <xf numFmtId="170" fontId="11" fillId="3" borderId="20" xfId="0" applyNumberFormat="1" applyFont="1" applyFill="1" applyBorder="1" applyAlignment="1">
      <alignment horizontal="left" vertical="bottom"/>
    </xf>
    <xf numFmtId="170" fontId="11" fillId="3" borderId="0" xfId="0" applyNumberFormat="1" applyFont="1" applyFill="1" applyAlignment="1">
      <alignment horizontal="left" vertical="bottom"/>
    </xf>
    <xf numFmtId="0" fontId="11" fillId="3" borderId="21" xfId="0" applyFont="1" applyFill="1" applyBorder="1" applyAlignment="1">
      <alignment horizontal="left" vertical="bottom"/>
    </xf>
    <xf numFmtId="10" fontId="11" fillId="3" borderId="0" xfId="0" applyNumberFormat="1" applyFont="1" applyFill="1" applyAlignment="1">
      <alignment horizontal="left" vertical="bottom"/>
    </xf>
    <xf numFmtId="0" fontId="11" fillId="3" borderId="20" xfId="0" applyFont="1" applyFill="1" applyBorder="1" applyAlignment="1">
      <alignment horizontal="lef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1"/>
  <sheetFormatPr defaultRowHeight="15" outlineLevelRow="0" outlineLevelCol="0" x14ac:dyDescent="55"/>
  <cols>
    <col min="1" max="1" width="26.15" customWidth="1"/>
    <col min="2" max="2" width="25.29" customWidth="1"/>
    <col min="3" max="3" width="19.86" customWidth="1"/>
    <col min="4" max="4" width="20.29" customWidth="1"/>
    <col min="5" max="5" width="16.71" customWidth="1"/>
    <col min="6" max="6" width="12.57" customWidth="1"/>
    <col min="7" max="7" width="23.14" customWidth="1"/>
    <col min="8" max="8" width="17" customWidth="1"/>
    <col min="9" max="9" width="13" customWidth="1"/>
    <col min="10" max="10" width="12.71" customWidth="1"/>
    <col min="11" max="11" width="11.14" customWidth="1"/>
  </cols>
  <sheetData>
    <row r="1" ht="22.05" customHeight="1" spans="1:1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2"/>
      <c r="K1" s="2"/>
    </row>
    <row r="2" ht="15" customHeight="1" spans="1:11" x14ac:dyDescent="0.25">
      <c r="A2" s="3"/>
      <c r="B2" s="3"/>
      <c r="C2" s="3"/>
      <c r="D2" s="4" t="s">
        <v>1</v>
      </c>
      <c r="E2" s="5" t="s">
        <v>2</v>
      </c>
      <c r="F2" s="4" t="s">
        <v>3</v>
      </c>
      <c r="G2" s="6"/>
      <c r="H2" s="6"/>
      <c r="I2" s="6"/>
      <c r="J2" s="2"/>
      <c r="K2" s="2"/>
    </row>
    <row r="3" ht="15" customHeight="1" spans="1:11" x14ac:dyDescent="0.25">
      <c r="A3" s="3"/>
      <c r="B3" s="3"/>
      <c r="C3" s="3"/>
      <c r="D3" s="4"/>
      <c r="E3" s="5"/>
      <c r="F3" s="4"/>
      <c r="G3" s="6"/>
      <c r="H3" s="6"/>
      <c r="I3" s="6"/>
      <c r="J3" s="2">
        <f>H5-D5</f>
      </c>
      <c r="K3" s="2"/>
    </row>
    <row r="4" ht="15" customHeight="1" spans="1:11" x14ac:dyDescent="0.25">
      <c r="A4" s="7" t="s">
        <v>4</v>
      </c>
      <c r="B4" s="8" t="s">
        <v>5</v>
      </c>
      <c r="C4" s="8" t="s">
        <v>5</v>
      </c>
      <c r="D4" s="8" t="s">
        <v>5</v>
      </c>
      <c r="E4" s="8" t="s">
        <v>6</v>
      </c>
      <c r="F4" s="9" t="s">
        <v>7</v>
      </c>
      <c r="G4" s="9" t="s">
        <v>7</v>
      </c>
      <c r="H4" s="9" t="s">
        <v>7</v>
      </c>
      <c r="I4" s="10" t="s">
        <v>8</v>
      </c>
      <c r="J4" s="11" t="s">
        <v>9</v>
      </c>
      <c r="K4" s="2"/>
    </row>
    <row r="5" ht="15" customHeight="1" spans="1:11" x14ac:dyDescent="0.25">
      <c r="A5" s="12" t="s">
        <v>10</v>
      </c>
      <c r="B5" s="13" t="s">
        <v>11</v>
      </c>
      <c r="C5" s="14"/>
      <c r="D5" s="15">
        <f>C5*25*2.2046+C6</f>
      </c>
      <c r="E5" s="16">
        <f>'[1]MEDIO GALON'!L2+'[1] GALON '!L18</f>
      </c>
      <c r="F5" s="13" t="s">
        <v>11</v>
      </c>
      <c r="G5" s="14"/>
      <c r="H5" s="17">
        <f>G5*25*2.2046+G6</f>
      </c>
      <c r="I5" s="18">
        <f>D5+E5-H5</f>
      </c>
      <c r="J5" s="19">
        <f>I15+I22</f>
      </c>
      <c r="K5" s="2"/>
    </row>
    <row r="6" ht="15" customHeight="1" spans="1:11" x14ac:dyDescent="0.25">
      <c r="A6" s="20"/>
      <c r="B6" s="21" t="s">
        <v>12</v>
      </c>
      <c r="C6" s="15"/>
      <c r="D6" s="22"/>
      <c r="E6" s="22"/>
      <c r="F6" s="21" t="s">
        <v>12</v>
      </c>
      <c r="G6" s="15"/>
      <c r="H6" s="22"/>
      <c r="I6" s="23"/>
      <c r="J6" s="19"/>
      <c r="K6" s="2"/>
    </row>
    <row r="7" ht="15" customHeight="1" spans="1:11" x14ac:dyDescent="0.25">
      <c r="A7" s="24" t="s">
        <v>13</v>
      </c>
      <c r="B7" s="25"/>
      <c r="C7" s="26"/>
      <c r="D7" s="27"/>
      <c r="E7" s="28"/>
      <c r="F7" s="28"/>
      <c r="G7" s="28"/>
      <c r="H7" s="27"/>
      <c r="I7" s="28">
        <f>D7+E7-H7</f>
      </c>
      <c r="J7" s="19">
        <f>I13+I20</f>
      </c>
      <c r="K7" s="2"/>
    </row>
    <row r="8" ht="15" customHeight="1" spans="1:11" x14ac:dyDescent="0.25">
      <c r="A8" s="24" t="s">
        <v>14</v>
      </c>
      <c r="B8" s="29">
        <f>'[1]MEDIO GALON'!O18</f>
      </c>
      <c r="C8" s="30"/>
      <c r="D8" s="31"/>
      <c r="E8" s="31"/>
      <c r="F8" s="31"/>
      <c r="G8" s="32"/>
      <c r="H8" s="31"/>
      <c r="I8" s="32"/>
      <c r="J8" s="2"/>
      <c r="K8" s="2"/>
    </row>
    <row r="9" ht="15" customHeight="1" spans="1:11" x14ac:dyDescent="0.25">
      <c r="A9" s="20" t="s">
        <v>15</v>
      </c>
      <c r="B9" s="29">
        <f>'[1]MEDIO GALON'!E18</f>
      </c>
      <c r="C9" s="30"/>
      <c r="D9" s="31"/>
      <c r="E9" s="31"/>
      <c r="F9" s="31"/>
      <c r="G9" s="31"/>
      <c r="H9" s="31"/>
      <c r="I9" s="31"/>
      <c r="J9" s="2"/>
      <c r="K9" s="2"/>
    </row>
    <row r="10" ht="15" customHeight="1" spans="1:11" x14ac:dyDescent="0.25">
      <c r="A10" s="33"/>
      <c r="B10" s="34"/>
      <c r="C10" s="34"/>
      <c r="D10" s="35"/>
      <c r="E10" s="35"/>
      <c r="F10" s="36"/>
      <c r="G10" s="37"/>
      <c r="H10" s="37"/>
      <c r="I10" s="38"/>
      <c r="J10" s="2"/>
      <c r="K10" s="2"/>
    </row>
    <row r="11" ht="15" customHeight="1" spans="1:11" x14ac:dyDescent="0.25">
      <c r="A11" s="39" t="s">
        <v>16</v>
      </c>
      <c r="B11" s="40" t="s">
        <v>17</v>
      </c>
      <c r="C11" s="41">
        <f>'[1]MEDIO GALON'!W18</f>
      </c>
      <c r="D11" s="42" t="s">
        <v>18</v>
      </c>
      <c r="E11" s="40"/>
      <c r="F11" s="43">
        <f>'[1]MEDIO GALON'!X18</f>
      </c>
      <c r="G11" s="44" t="s">
        <v>19</v>
      </c>
      <c r="H11" s="45">
        <f>'[1]MEDIO GALON'!Y18</f>
      </c>
      <c r="I11" s="46" t="s">
        <v>20</v>
      </c>
      <c r="J11" s="2"/>
      <c r="K11" s="2"/>
    </row>
    <row r="12" ht="15" customHeight="1" spans="1:11" x14ac:dyDescent="0.25">
      <c r="A12" s="47" t="s">
        <v>21</v>
      </c>
      <c r="B12" s="48">
        <f>'[1]MEDIO GALON'!Z18</f>
      </c>
      <c r="C12" s="49"/>
      <c r="D12" s="50"/>
      <c r="E12" s="50"/>
      <c r="F12" s="50"/>
      <c r="G12" s="51"/>
      <c r="H12" s="52" t="s">
        <v>22</v>
      </c>
      <c r="I12" s="46" t="s">
        <v>20</v>
      </c>
      <c r="J12" s="2"/>
      <c r="K12" s="2"/>
    </row>
    <row r="13" ht="15" customHeight="1" spans="1:11" x14ac:dyDescent="0.25">
      <c r="A13" s="53" t="s">
        <v>23</v>
      </c>
      <c r="B13" s="54">
        <f>'[1]MEDIO GALON'!AA18</f>
      </c>
      <c r="C13" s="54"/>
      <c r="D13" s="54"/>
      <c r="E13" s="54"/>
      <c r="F13" s="54"/>
      <c r="G13" s="55"/>
      <c r="H13" s="56">
        <f>'[1]MEDIO GALON'!S18</f>
      </c>
      <c r="I13" s="57">
        <f>SUM(B13:H13)</f>
      </c>
      <c r="J13" s="2"/>
      <c r="K13" s="2"/>
    </row>
    <row r="14" ht="15" customHeight="1" spans="1:11" x14ac:dyDescent="0.25">
      <c r="A14" s="53" t="s">
        <v>24</v>
      </c>
      <c r="B14" s="58">
        <f>'[1]MEDIO GALON'!AB18</f>
      </c>
      <c r="C14" s="58"/>
      <c r="D14" s="58"/>
      <c r="E14" s="58"/>
      <c r="F14" s="58"/>
      <c r="G14" s="58"/>
      <c r="H14" s="59"/>
      <c r="I14" s="57">
        <f>SUM(B14:H14)</f>
      </c>
      <c r="J14" s="2"/>
      <c r="K14" s="2"/>
    </row>
    <row r="15" ht="15" customHeight="1" spans="1:11" x14ac:dyDescent="0.25">
      <c r="A15" s="53" t="s">
        <v>25</v>
      </c>
      <c r="B15" s="60">
        <f>'[1]MEDIO GALON'!AH18</f>
      </c>
      <c r="C15" s="61"/>
      <c r="D15" s="54"/>
      <c r="E15" s="54"/>
      <c r="F15" s="54"/>
      <c r="G15" s="54"/>
      <c r="H15" s="54">
        <f>'[1]MEDIO GALON'!AG18</f>
      </c>
      <c r="I15" s="57">
        <f>SUM(B15:H15)</f>
      </c>
      <c r="J15" s="2"/>
      <c r="K15" s="2"/>
    </row>
    <row r="16" ht="15" customHeight="1" spans="1:11" x14ac:dyDescent="0.25">
      <c r="A16" s="62" t="s">
        <v>26</v>
      </c>
      <c r="B16" s="29">
        <f>'[1]MEDIO GALON'!D18</f>
      </c>
      <c r="C16" s="63" t="s">
        <v>27</v>
      </c>
      <c r="D16" s="54">
        <f>'[1]MEDIO GALON'!C18</f>
      </c>
      <c r="E16" s="64"/>
      <c r="F16" s="30"/>
      <c r="G16" s="30"/>
      <c r="H16" s="65"/>
      <c r="I16" s="32"/>
      <c r="J16" s="2"/>
      <c r="K16" s="2"/>
    </row>
    <row r="17" ht="15" customHeight="1" spans="1:9" x14ac:dyDescent="0.25">
      <c r="A17" s="66"/>
      <c r="B17" s="67"/>
      <c r="C17" s="67"/>
      <c r="D17" s="68"/>
      <c r="E17" s="67"/>
      <c r="F17" s="69"/>
      <c r="G17" s="68"/>
      <c r="H17" s="68"/>
      <c r="I17" s="68"/>
    </row>
    <row r="18" ht="15" customHeight="1" spans="1:9" x14ac:dyDescent="0.25">
      <c r="A18" s="39" t="s">
        <v>28</v>
      </c>
      <c r="B18" s="40" t="s">
        <v>17</v>
      </c>
      <c r="C18" s="41"/>
      <c r="D18" s="42" t="s">
        <v>18</v>
      </c>
      <c r="E18" s="40"/>
      <c r="F18" s="43">
        <f>'[1] GALON '!X18</f>
        <v>1850</v>
      </c>
      <c r="G18" s="44" t="s">
        <v>19</v>
      </c>
      <c r="H18" s="45">
        <f>'[1] GALON '!Y16</f>
      </c>
      <c r="I18" s="70" t="s">
        <v>20</v>
      </c>
    </row>
    <row r="19" ht="15" customHeight="1" spans="1:9" x14ac:dyDescent="0.25">
      <c r="A19" s="47" t="s">
        <v>21</v>
      </c>
      <c r="B19" s="71" t="str">
        <f>'[1] GALON '!Z18</f>
        <v>GALON CON INSERTO </v>
      </c>
      <c r="C19" s="50"/>
      <c r="D19" s="50"/>
      <c r="E19" s="50"/>
      <c r="F19" s="50"/>
      <c r="G19" s="50"/>
      <c r="H19" s="52" t="s">
        <v>22</v>
      </c>
      <c r="I19" s="72"/>
    </row>
    <row r="20" ht="15" customHeight="1" spans="1:9" x14ac:dyDescent="0.25">
      <c r="A20" s="53" t="s">
        <v>23</v>
      </c>
      <c r="B20" s="54"/>
      <c r="C20" s="54"/>
      <c r="D20" s="54"/>
      <c r="E20" s="54"/>
      <c r="F20" s="54"/>
      <c r="G20" s="54"/>
      <c r="H20" s="56"/>
      <c r="I20" s="57">
        <f>SUM(B20:H20)</f>
      </c>
    </row>
    <row r="21" ht="15" customHeight="1" spans="1:9" x14ac:dyDescent="0.25">
      <c r="A21" s="53" t="s">
        <v>24</v>
      </c>
      <c r="B21" s="58"/>
      <c r="C21" s="58">
        <f>C20*54</f>
      </c>
      <c r="D21" s="58">
        <f>D20*54</f>
      </c>
      <c r="E21" s="58">
        <f>E20*54</f>
      </c>
      <c r="F21" s="58">
        <f>F20*54</f>
      </c>
      <c r="G21" s="58">
        <f>G20*54</f>
      </c>
      <c r="H21" s="59">
        <v>0</v>
      </c>
      <c r="I21" s="57">
        <f>SUM(B21:G21)</f>
      </c>
    </row>
    <row r="22" ht="15" customHeight="1" spans="1:9" x14ac:dyDescent="0.25">
      <c r="A22" s="73" t="s">
        <v>25</v>
      </c>
      <c r="B22" s="74"/>
      <c r="C22" s="61"/>
      <c r="D22" s="54"/>
      <c r="E22" s="54"/>
      <c r="F22" s="54"/>
      <c r="G22" s="54"/>
      <c r="H22" s="54"/>
      <c r="I22" s="75">
        <f>SUM(B22:H22)</f>
      </c>
    </row>
    <row r="23" ht="15" customHeight="1" spans="1:9" x14ac:dyDescent="0.25">
      <c r="A23" s="62" t="s">
        <v>29</v>
      </c>
      <c r="B23" s="54"/>
      <c r="C23" s="63"/>
      <c r="D23" s="54"/>
      <c r="E23" s="30"/>
      <c r="F23" s="30"/>
      <c r="G23" s="30"/>
      <c r="H23" s="65"/>
      <c r="I23" s="32"/>
    </row>
    <row r="24" ht="15" customHeight="1" spans="1:11" x14ac:dyDescent="0.25">
      <c r="A24" s="76"/>
      <c r="B24" s="77"/>
      <c r="C24" s="77"/>
      <c r="D24" s="78"/>
      <c r="E24" s="77"/>
      <c r="F24" s="78"/>
      <c r="G24" s="79"/>
      <c r="H24" s="80"/>
      <c r="I24" s="81"/>
      <c r="J24" s="2"/>
      <c r="K24" s="2"/>
    </row>
    <row r="25" ht="15" customHeight="1" spans="1:11" x14ac:dyDescent="0.25">
      <c r="A25" s="7" t="s">
        <v>4</v>
      </c>
      <c r="B25" s="8" t="s">
        <v>5</v>
      </c>
      <c r="C25" s="8" t="s">
        <v>5</v>
      </c>
      <c r="D25" s="8" t="s">
        <v>5</v>
      </c>
      <c r="E25" s="8" t="s">
        <v>6</v>
      </c>
      <c r="F25" s="9" t="s">
        <v>7</v>
      </c>
      <c r="G25" s="9" t="s">
        <v>7</v>
      </c>
      <c r="H25" s="9" t="s">
        <v>7</v>
      </c>
      <c r="I25" s="10" t="s">
        <v>8</v>
      </c>
      <c r="J25" s="11" t="s">
        <v>9</v>
      </c>
      <c r="K25" s="2"/>
    </row>
    <row r="26" ht="15" customHeight="1" spans="1:11" x14ac:dyDescent="0.25">
      <c r="A26" s="12" t="s">
        <v>10</v>
      </c>
      <c r="B26" s="13" t="s">
        <v>11</v>
      </c>
      <c r="C26" s="14"/>
      <c r="D26" s="15">
        <f>C26*25*2.2046</f>
      </c>
      <c r="E26" s="16">
        <f>[1]LITRO!L18</f>
      </c>
      <c r="F26" s="13" t="s">
        <v>11</v>
      </c>
      <c r="G26" s="14"/>
      <c r="H26" s="15"/>
      <c r="I26" s="18">
        <f>[1]LITRO!AF18</f>
        <v>351.15</v>
      </c>
      <c r="J26" s="82">
        <f>I36</f>
      </c>
      <c r="K26" s="2"/>
    </row>
    <row r="27" ht="15" customHeight="1" spans="1:11" x14ac:dyDescent="0.25">
      <c r="A27" s="20"/>
      <c r="B27" s="21" t="s">
        <v>12</v>
      </c>
      <c r="C27" s="15"/>
      <c r="D27" s="22"/>
      <c r="E27" s="22"/>
      <c r="F27" s="21" t="s">
        <v>12</v>
      </c>
      <c r="G27" s="15"/>
      <c r="H27" s="22"/>
      <c r="I27" s="23"/>
      <c r="J27" s="19"/>
      <c r="K27" s="2"/>
    </row>
    <row r="28" ht="15" customHeight="1" spans="1:11" x14ac:dyDescent="0.25">
      <c r="A28" s="24" t="s">
        <v>13</v>
      </c>
      <c r="B28" s="28"/>
      <c r="C28" s="83"/>
      <c r="D28" s="27"/>
      <c r="E28" s="28">
        <f>[1]LITRO!R18</f>
      </c>
      <c r="F28" s="28"/>
      <c r="G28" s="28"/>
      <c r="H28" s="27"/>
      <c r="I28" s="28">
        <f>D28+E28-H28</f>
      </c>
      <c r="J28" s="19">
        <f>I34+I41</f>
      </c>
      <c r="K28" s="2"/>
    </row>
    <row r="29" ht="15" customHeight="1" spans="1:11" x14ac:dyDescent="0.25">
      <c r="A29" s="24" t="s">
        <v>14</v>
      </c>
      <c r="B29" s="29"/>
      <c r="C29" s="30" t="s">
        <v>30</v>
      </c>
      <c r="D29" s="31"/>
      <c r="E29" s="31"/>
      <c r="F29" s="31"/>
      <c r="G29" s="32"/>
      <c r="H29" s="31"/>
      <c r="I29" s="32"/>
      <c r="J29" s="2"/>
      <c r="K29" s="2"/>
    </row>
    <row r="30" ht="15" customHeight="1" spans="1:11" x14ac:dyDescent="0.25">
      <c r="A30" s="20" t="s">
        <v>15</v>
      </c>
      <c r="B30" s="29"/>
      <c r="C30" s="30"/>
      <c r="D30" s="31"/>
      <c r="E30" s="31"/>
      <c r="F30" s="31"/>
      <c r="G30" s="31"/>
      <c r="H30" s="31"/>
      <c r="I30" s="31"/>
      <c r="J30" s="2"/>
      <c r="K30" s="2"/>
    </row>
    <row r="31" ht="15" customHeight="1" spans="1:11" x14ac:dyDescent="0.25">
      <c r="A31" s="33"/>
      <c r="B31" s="34"/>
      <c r="C31" s="34"/>
      <c r="D31" s="35"/>
      <c r="E31" s="35"/>
      <c r="F31" s="36"/>
      <c r="G31" s="37"/>
      <c r="H31" s="37"/>
      <c r="I31" s="38"/>
      <c r="J31" s="2"/>
      <c r="K31" s="2"/>
    </row>
    <row r="32" ht="15" customHeight="1" spans="1:11" x14ac:dyDescent="0.25">
      <c r="A32" s="39" t="s">
        <v>31</v>
      </c>
      <c r="B32" s="84" t="s">
        <v>17</v>
      </c>
      <c r="C32" s="84" t="s">
        <v>17</v>
      </c>
      <c r="D32" s="85">
        <f>[1]LITRO!W18</f>
      </c>
      <c r="E32" s="86" t="s">
        <v>18</v>
      </c>
      <c r="F32" s="85">
        <f>[1]LITRO!X18</f>
      </c>
      <c r="G32" s="44" t="s">
        <v>19</v>
      </c>
      <c r="H32" s="45">
        <f>[1]LITRO!Y18</f>
      </c>
      <c r="I32" s="46" t="s">
        <v>20</v>
      </c>
      <c r="J32" s="2"/>
      <c r="K32" s="2"/>
    </row>
    <row r="33" ht="15" customHeight="1" spans="1:11" x14ac:dyDescent="0.25">
      <c r="A33" s="47" t="s">
        <v>21</v>
      </c>
      <c r="B33" s="50" t="str">
        <f>[1]LITRO!Z18</f>
        <v>LITRO LA JOLLA </v>
      </c>
      <c r="C33" s="50"/>
      <c r="D33" s="50"/>
      <c r="E33" s="50"/>
      <c r="F33" s="50"/>
      <c r="G33" s="51"/>
      <c r="H33" s="52" t="s">
        <v>22</v>
      </c>
      <c r="I33" s="46" t="s">
        <v>20</v>
      </c>
      <c r="J33" s="2"/>
      <c r="K33" s="2"/>
    </row>
    <row r="34" ht="15" customHeight="1" spans="1:11" x14ac:dyDescent="0.25">
      <c r="A34" s="53" t="s">
        <v>23</v>
      </c>
      <c r="B34" s="54"/>
      <c r="C34" s="54"/>
      <c r="D34" s="54"/>
      <c r="E34" s="54"/>
      <c r="F34" s="54"/>
      <c r="G34" s="55"/>
      <c r="H34" s="56"/>
      <c r="I34" s="57">
        <f>SUM(B34:H34)</f>
      </c>
      <c r="J34" s="2"/>
      <c r="K34" s="2"/>
    </row>
    <row r="35" ht="15" customHeight="1" spans="1:11" x14ac:dyDescent="0.25">
      <c r="A35" s="53" t="s">
        <v>24</v>
      </c>
      <c r="B35" s="58"/>
      <c r="C35" s="58"/>
      <c r="D35" s="58"/>
      <c r="E35" s="58"/>
      <c r="F35" s="58"/>
      <c r="G35" s="58"/>
      <c r="H35" s="59">
        <v>0</v>
      </c>
      <c r="I35" s="57">
        <f>SUM(B35:G35)</f>
      </c>
      <c r="J35" s="2"/>
      <c r="K35" s="2"/>
    </row>
    <row r="36" ht="15" customHeight="1" spans="1:11" x14ac:dyDescent="0.25">
      <c r="A36" s="53" t="s">
        <v>25</v>
      </c>
      <c r="B36" s="87"/>
      <c r="C36" s="61"/>
      <c r="D36" s="54"/>
      <c r="E36" s="54"/>
      <c r="F36" s="54"/>
      <c r="G36" s="54"/>
      <c r="H36" s="87"/>
      <c r="I36" s="88">
        <f>SUM(B36:H36)</f>
      </c>
      <c r="J36" s="2"/>
      <c r="K36" s="2"/>
    </row>
    <row r="37" ht="15" customHeight="1" spans="1:9" x14ac:dyDescent="0.25">
      <c r="A37" s="53" t="s">
        <v>29</v>
      </c>
      <c r="B37" s="89"/>
      <c r="C37" s="89"/>
      <c r="D37" s="63" t="s">
        <v>27</v>
      </c>
      <c r="E37" s="54"/>
      <c r="F37" s="30"/>
      <c r="G37" s="30"/>
      <c r="H37" s="65"/>
      <c r="I37" s="32"/>
    </row>
    <row r="38" ht="15" customHeight="1" spans="1:11" x14ac:dyDescent="0.25">
      <c r="A38" s="90"/>
      <c r="B38" s="90"/>
      <c r="C38" s="90"/>
      <c r="D38" s="90"/>
      <c r="E38" s="90"/>
      <c r="F38" s="90"/>
      <c r="G38" s="90"/>
      <c r="H38" s="90"/>
      <c r="I38" s="90"/>
      <c r="J38" s="2"/>
      <c r="K38" s="2"/>
    </row>
    <row r="39" ht="15" customHeight="1" spans="1:11" x14ac:dyDescent="0.25">
      <c r="A39" s="90"/>
      <c r="B39" s="90"/>
      <c r="C39" s="90"/>
      <c r="D39" s="90"/>
      <c r="E39" s="90"/>
      <c r="F39" s="90"/>
      <c r="G39" s="90"/>
      <c r="H39" s="90"/>
      <c r="I39" s="90"/>
      <c r="J39" s="2"/>
      <c r="K39" s="2"/>
    </row>
    <row r="40" ht="15" customHeight="1" spans="1:11" x14ac:dyDescent="0.25">
      <c r="A40" s="90"/>
      <c r="B40" s="90"/>
      <c r="C40" s="90"/>
      <c r="D40" s="90"/>
      <c r="E40" s="90"/>
      <c r="F40" s="90"/>
      <c r="G40" s="90"/>
      <c r="H40" s="90"/>
      <c r="I40" s="90"/>
      <c r="J40" s="2"/>
      <c r="K40" s="2"/>
    </row>
    <row r="41" ht="15" customHeight="1" spans="1:11" x14ac:dyDescent="0.25">
      <c r="A41" s="90"/>
      <c r="B41" s="91"/>
      <c r="C41" s="91"/>
      <c r="D41" s="91"/>
      <c r="E41" s="91"/>
      <c r="F41" s="90"/>
      <c r="G41" s="90"/>
      <c r="H41" s="90"/>
      <c r="I41" s="90"/>
      <c r="J41" s="2"/>
      <c r="K41" s="2"/>
    </row>
    <row r="42" ht="15" customHeight="1" spans="1:11" x14ac:dyDescent="0.25">
      <c r="A42" s="90"/>
      <c r="B42" s="90"/>
      <c r="C42" s="91"/>
      <c r="D42" s="91"/>
      <c r="E42" s="91"/>
      <c r="F42" s="90"/>
      <c r="G42" s="90"/>
      <c r="H42" s="90"/>
      <c r="I42" s="90"/>
      <c r="J42" s="2"/>
      <c r="K42" s="2"/>
    </row>
    <row r="43" ht="15" customHeight="1" spans="1:11" x14ac:dyDescent="0.25">
      <c r="A43" s="92"/>
      <c r="B43" s="90"/>
      <c r="C43" s="91"/>
      <c r="D43" s="91"/>
      <c r="E43" s="91"/>
      <c r="F43" s="92"/>
      <c r="G43" s="92"/>
      <c r="H43" s="92"/>
      <c r="I43" s="92"/>
      <c r="J43" s="2"/>
      <c r="K43" s="2"/>
    </row>
    <row r="44" ht="12.8" customHeight="1" spans="1:11" x14ac:dyDescent="0.25">
      <c r="A44" s="93"/>
      <c r="B44" s="93"/>
      <c r="C44" s="93"/>
      <c r="D44" s="93"/>
      <c r="E44" s="93"/>
      <c r="F44" s="93"/>
      <c r="G44" s="93"/>
      <c r="H44" s="93"/>
      <c r="I44" s="93"/>
      <c r="J44" s="2"/>
      <c r="K44" s="2"/>
    </row>
    <row r="45" ht="17.35" customHeight="1" spans="1:11" x14ac:dyDescent="0.25">
      <c r="A45" s="2"/>
      <c r="B45" s="2"/>
      <c r="C45" s="2"/>
      <c r="D45" s="2"/>
      <c r="E45" s="2"/>
      <c r="F45" s="94"/>
      <c r="G45" s="2"/>
      <c r="H45" s="2"/>
      <c r="I45" s="2"/>
      <c r="J45" s="2"/>
      <c r="K45" s="2"/>
    </row>
    <row r="46" ht="17.35" customHeight="1" spans="1:11" x14ac:dyDescent="0.25">
      <c r="A46" s="2"/>
      <c r="B46" s="2"/>
      <c r="C46" s="2"/>
      <c r="D46" s="2"/>
      <c r="E46" s="2"/>
      <c r="F46" s="2"/>
      <c r="G46" s="95"/>
      <c r="H46" s="2"/>
      <c r="I46" s="2"/>
      <c r="J46" s="2"/>
      <c r="K46" s="2"/>
    </row>
    <row r="47" ht="22.05" customHeight="1" spans="1:11" x14ac:dyDescent="0.25">
      <c r="A47" s="96" t="s">
        <v>32</v>
      </c>
      <c r="B47" s="96" t="s">
        <v>32</v>
      </c>
      <c r="C47" s="96" t="s">
        <v>32</v>
      </c>
      <c r="D47" s="96" t="s">
        <v>32</v>
      </c>
      <c r="E47" s="96" t="s">
        <v>32</v>
      </c>
      <c r="F47" s="96" t="s">
        <v>32</v>
      </c>
      <c r="G47" s="96" t="s">
        <v>32</v>
      </c>
      <c r="H47" s="96" t="s">
        <v>32</v>
      </c>
      <c r="I47" s="64"/>
      <c r="J47" s="2"/>
      <c r="K47" s="2"/>
    </row>
    <row r="48" ht="13.8" customHeight="1" spans="1:11" x14ac:dyDescent="0.25">
      <c r="A48" s="33"/>
      <c r="B48" s="97"/>
      <c r="C48" s="97"/>
      <c r="D48" s="33"/>
      <c r="E48" s="33"/>
      <c r="F48" s="33"/>
      <c r="G48" s="33"/>
      <c r="H48" s="33"/>
      <c r="I48" s="64"/>
      <c r="J48" s="2"/>
      <c r="K48" s="2"/>
    </row>
    <row r="49" ht="13.8" customHeight="1" spans="1:11" x14ac:dyDescent="0.25">
      <c r="A49" s="98" t="s">
        <v>27</v>
      </c>
      <c r="B49" s="99" t="s">
        <v>33</v>
      </c>
      <c r="C49" s="98" t="s">
        <v>1</v>
      </c>
      <c r="D49" s="100" t="s">
        <v>2</v>
      </c>
      <c r="E49" s="98" t="s">
        <v>3</v>
      </c>
      <c r="F49" s="101"/>
      <c r="G49" s="101"/>
      <c r="H49" s="101"/>
      <c r="I49" s="64"/>
      <c r="J49" s="2"/>
      <c r="K49" s="2"/>
    </row>
    <row r="50" ht="13.8" customHeight="1" spans="1:11" x14ac:dyDescent="0.25">
      <c r="A50" s="102" t="s">
        <v>34</v>
      </c>
      <c r="B50" s="103"/>
      <c r="C50" s="104"/>
      <c r="D50" s="33"/>
      <c r="E50" s="33"/>
      <c r="F50" s="33" t="s">
        <v>35</v>
      </c>
      <c r="G50" s="103"/>
      <c r="H50" s="33"/>
      <c r="I50" s="64"/>
      <c r="J50" s="2"/>
      <c r="K50" s="2"/>
    </row>
    <row r="51" ht="13.8" customHeight="1" spans="1:11" x14ac:dyDescent="0.25">
      <c r="A51" s="102" t="s">
        <v>34</v>
      </c>
      <c r="B51" s="33"/>
      <c r="C51" s="105" t="s">
        <v>36</v>
      </c>
      <c r="D51" s="105" t="s">
        <v>37</v>
      </c>
      <c r="E51" s="105" t="s">
        <v>38</v>
      </c>
      <c r="F51" s="105" t="s">
        <v>22</v>
      </c>
      <c r="G51" s="105" t="s">
        <v>8</v>
      </c>
      <c r="H51" s="105" t="s">
        <v>39</v>
      </c>
      <c r="I51" s="64"/>
      <c r="J51" s="2"/>
      <c r="K51" s="2"/>
    </row>
    <row r="52" ht="15" customHeight="1" spans="1:11" x14ac:dyDescent="0.25">
      <c r="A52" s="38"/>
      <c r="B52" s="38"/>
      <c r="C52" s="87"/>
      <c r="D52" s="87">
        <f>[1]TAPAS!R16*25</f>
      </c>
      <c r="E52" s="87"/>
      <c r="F52" s="87">
        <f>[1]TAPAS!AG16</f>
      </c>
      <c r="G52" s="87">
        <f>[1]TAPAS!AF16</f>
      </c>
      <c r="H52" s="105">
        <f>[1]TAPAS!M16</f>
      </c>
      <c r="I52" s="64"/>
      <c r="J52" s="2"/>
      <c r="K52" s="2"/>
    </row>
    <row r="53" ht="15" customHeight="1" spans="1:11" x14ac:dyDescent="0.25">
      <c r="A53" s="38" t="s">
        <v>40</v>
      </c>
      <c r="B53" s="38"/>
      <c r="C53" s="61"/>
      <c r="D53" s="54">
        <f>[1]TAPAS!AK16</f>
      </c>
      <c r="E53" s="61"/>
      <c r="F53" s="54">
        <f>[1]TAPAS!AM16</f>
      </c>
      <c r="G53" s="106">
        <v>0</v>
      </c>
      <c r="H53" s="105">
        <f>[1]TAPAS!AH16</f>
      </c>
      <c r="I53" s="64"/>
      <c r="J53" s="2"/>
      <c r="K53" s="2"/>
    </row>
    <row r="54" ht="15" customHeight="1" spans="1:11" x14ac:dyDescent="0.25">
      <c r="A54" s="38" t="s">
        <v>41</v>
      </c>
      <c r="B54" s="38"/>
      <c r="C54" s="61"/>
      <c r="D54" s="54">
        <f>[1]TAPAS!X16</f>
      </c>
      <c r="E54" s="61"/>
      <c r="F54" s="54">
        <f>[1]TAPAS!Y16</f>
      </c>
      <c r="G54" s="106">
        <f>[1]TAPAS!AA16</f>
      </c>
      <c r="H54" s="54">
        <f>[1]TAPAS!U16</f>
      </c>
      <c r="I54" s="107"/>
      <c r="J54" s="2"/>
      <c r="K54" s="2"/>
    </row>
    <row r="55" ht="15" customHeight="1" spans="1:11" x14ac:dyDescent="0.25">
      <c r="A55" s="37" t="s">
        <v>42</v>
      </c>
      <c r="B55" s="108" t="s">
        <v>43</v>
      </c>
      <c r="C55" s="38"/>
      <c r="D55" s="38"/>
      <c r="E55" s="109"/>
      <c r="F55" s="38"/>
      <c r="G55" s="110"/>
      <c r="H55" s="33"/>
      <c r="I55" s="107"/>
      <c r="J55" s="2"/>
      <c r="K55" s="2"/>
    </row>
    <row r="56" ht="15" customHeight="1" spans="1:11" x14ac:dyDescent="0.25">
      <c r="A56" s="111"/>
      <c r="B56" s="54"/>
      <c r="C56" s="60"/>
      <c r="D56" s="60">
        <f>[1]TAPAS!J18</f>
      </c>
      <c r="E56" s="60"/>
      <c r="F56" s="60">
        <f>[1]TAPAS!I18</f>
      </c>
      <c r="G56" s="60">
        <f>[1]TAPAS!H18</f>
      </c>
      <c r="H56" s="33"/>
      <c r="I56" s="107"/>
      <c r="J56" s="2"/>
      <c r="K56" s="2"/>
    </row>
    <row r="57" ht="15" customHeight="1" spans="1:11" x14ac:dyDescent="0.25">
      <c r="A57" s="54"/>
      <c r="B57" s="54"/>
      <c r="C57" s="112"/>
      <c r="D57" s="112"/>
      <c r="E57" s="112"/>
      <c r="F57" s="112"/>
      <c r="G57" s="112"/>
      <c r="H57" s="33"/>
      <c r="I57" s="107"/>
      <c r="J57" s="2"/>
      <c r="K57" s="2"/>
    </row>
    <row r="58" ht="15" customHeight="1" spans="1:11" x14ac:dyDescent="0.25">
      <c r="A58" s="38"/>
      <c r="B58" s="38"/>
      <c r="C58" s="113"/>
      <c r="D58" s="113"/>
      <c r="E58" s="36"/>
      <c r="F58" s="38"/>
      <c r="G58" s="38"/>
      <c r="H58" s="33"/>
      <c r="I58" s="64"/>
      <c r="J58" s="2"/>
      <c r="K58" s="2"/>
    </row>
    <row r="59" ht="15" customHeight="1" spans="1:8" x14ac:dyDescent="0.25">
      <c r="A59" s="38" t="s">
        <v>44</v>
      </c>
      <c r="B59" s="114"/>
      <c r="C59" s="114"/>
      <c r="D59" s="115"/>
      <c r="E59" s="115"/>
      <c r="F59" s="115"/>
      <c r="G59" s="115"/>
      <c r="H59" s="116" t="s">
        <v>20</v>
      </c>
    </row>
    <row r="60" ht="15" customHeight="1" spans="1:8" x14ac:dyDescent="0.25">
      <c r="A60" s="38" t="s">
        <v>45</v>
      </c>
      <c r="B60" s="117"/>
      <c r="C60" s="118"/>
      <c r="D60" s="119">
        <v>0</v>
      </c>
      <c r="E60" s="119">
        <v>0</v>
      </c>
      <c r="F60" s="119">
        <v>0</v>
      </c>
      <c r="G60" s="119">
        <v>0</v>
      </c>
      <c r="H60" s="120"/>
    </row>
    <row r="61" ht="15" customHeight="1" spans="1:8" x14ac:dyDescent="0.25">
      <c r="A61" s="38" t="s">
        <v>46</v>
      </c>
      <c r="B61" s="121"/>
      <c r="C61" s="114"/>
      <c r="D61" s="115"/>
      <c r="E61" s="115"/>
      <c r="F61" s="115"/>
      <c r="G61" s="115"/>
      <c r="H61" s="120"/>
    </row>
    <row r="62" ht="15" customHeight="1" spans="1:8" x14ac:dyDescent="0.25">
      <c r="A62" s="38" t="s">
        <v>47</v>
      </c>
      <c r="B62" s="121"/>
      <c r="C62" s="114"/>
      <c r="D62" s="115"/>
      <c r="E62" s="115"/>
      <c r="F62" s="115"/>
      <c r="G62" s="115"/>
      <c r="H62" s="120"/>
    </row>
    <row r="63" ht="15" customHeight="1" spans="1:8" x14ac:dyDescent="0.25">
      <c r="A63" s="38" t="s">
        <v>48</v>
      </c>
      <c r="B63" s="121">
        <f>[1]TAPAS!AU18</f>
      </c>
      <c r="C63" s="114"/>
      <c r="D63" s="115"/>
      <c r="E63" s="115"/>
      <c r="F63" s="115"/>
      <c r="G63" s="115"/>
      <c r="H63" s="33"/>
    </row>
    <row r="64" ht="15" customHeight="1" spans="1:8" x14ac:dyDescent="0.25">
      <c r="A64" s="38"/>
      <c r="B64" s="122" t="s">
        <v>49</v>
      </c>
      <c r="C64" s="122" t="s">
        <v>50</v>
      </c>
      <c r="D64" s="37" t="s">
        <v>51</v>
      </c>
      <c r="E64" s="37"/>
      <c r="F64" s="123" t="s">
        <v>52</v>
      </c>
      <c r="G64" s="97" t="s">
        <v>53</v>
      </c>
      <c r="H64" s="33"/>
    </row>
    <row r="65" ht="15" customHeight="1" spans="1:8" x14ac:dyDescent="0.25">
      <c r="A65" s="124" t="s">
        <v>54</v>
      </c>
      <c r="B65" s="121">
        <f>[1]TAPAS!AP18</f>
      </c>
      <c r="C65" s="111">
        <f>[1]TAPAS!AQ18</f>
      </c>
      <c r="D65" s="87">
        <f>[1]TAPAS!AR18</f>
      </c>
      <c r="E65" s="37"/>
      <c r="F65" s="87">
        <f>[1]TAPAS!AS18</f>
      </c>
      <c r="G65" s="54">
        <f>[1]TAPAS!AT18</f>
      </c>
      <c r="H65" s="33"/>
    </row>
    <row r="66" ht="15" customHeight="1" spans="1:8" x14ac:dyDescent="0.25">
      <c r="A66" s="3" t="s">
        <v>55</v>
      </c>
      <c r="B66" s="38"/>
      <c r="C66" s="38"/>
      <c r="D66" s="38"/>
      <c r="E66" s="38"/>
      <c r="F66" s="38"/>
      <c r="G66" s="38"/>
      <c r="H66" s="33"/>
    </row>
    <row r="67" ht="15" customHeight="1" spans="1:8" x14ac:dyDescent="0.25">
      <c r="A67" s="3" t="s">
        <v>55</v>
      </c>
      <c r="B67" s="37" t="s">
        <v>36</v>
      </c>
      <c r="C67" s="37" t="s">
        <v>37</v>
      </c>
      <c r="D67" s="37" t="s">
        <v>38</v>
      </c>
      <c r="E67" s="37" t="s">
        <v>22</v>
      </c>
      <c r="F67" s="37" t="s">
        <v>56</v>
      </c>
      <c r="G67" s="125" t="s">
        <v>39</v>
      </c>
      <c r="H67" s="33"/>
    </row>
    <row r="68" ht="15" customHeight="1" spans="1:8" x14ac:dyDescent="0.25">
      <c r="A68" s="38" t="s">
        <v>57</v>
      </c>
      <c r="B68" s="126"/>
      <c r="C68" s="126">
        <f>'[1]MEDIO LITRO'!V18</f>
      </c>
      <c r="D68" s="126"/>
      <c r="E68" s="126">
        <f>'[1]MEDIO LITRO'!U19</f>
      </c>
      <c r="F68" s="127">
        <f>'[1]MEDIO LITRO'!T18</f>
      </c>
      <c r="G68" s="105"/>
      <c r="H68" s="128"/>
    </row>
    <row r="69" ht="15" customHeight="1" spans="1:8" x14ac:dyDescent="0.25">
      <c r="A69" s="38" t="s">
        <v>47</v>
      </c>
      <c r="B69" s="129"/>
      <c r="C69" s="54"/>
      <c r="D69" s="129"/>
      <c r="E69" s="54">
        <f>'[1]MEDIO LITRO'!AB18</f>
      </c>
      <c r="F69" s="129">
        <f>'[1]MEDIO LITRO'!AC18</f>
      </c>
      <c r="G69" s="130"/>
      <c r="H69" s="128"/>
    </row>
    <row r="70" ht="15" customHeight="1" spans="1:8" x14ac:dyDescent="0.25">
      <c r="A70" s="38" t="s">
        <v>58</v>
      </c>
      <c r="B70" s="60"/>
      <c r="C70" s="60"/>
      <c r="D70" s="129"/>
      <c r="E70" s="60"/>
      <c r="F70" s="131"/>
      <c r="G70" s="115"/>
      <c r="H70" s="33"/>
    </row>
    <row r="71" ht="15" customHeight="1" spans="1:8" x14ac:dyDescent="0.25">
      <c r="A71" s="38" t="s">
        <v>45</v>
      </c>
      <c r="B71" s="22" t="s">
        <v>59</v>
      </c>
      <c r="C71" s="22" t="s">
        <v>60</v>
      </c>
      <c r="D71" s="37"/>
      <c r="E71" s="109"/>
      <c r="F71" s="109"/>
      <c r="G71" s="37"/>
      <c r="H71" s="33"/>
    </row>
    <row r="72" ht="15" customHeight="1" spans="1:8" x14ac:dyDescent="0.25">
      <c r="A72" s="38" t="str">
        <f>'[1]MEDIO LITRO'!AJ2</f>
        <v>MEDIO LITRO PORTOLA</v>
      </c>
      <c r="B72" s="54">
        <f>'[1]MEDIO LITRO'!AK18</f>
      </c>
      <c r="C72" s="22">
        <f>'[1]MEDIO LITRO'!AL18</f>
      </c>
      <c r="D72" s="37"/>
      <c r="E72" s="37"/>
      <c r="F72" s="37"/>
      <c r="G72" s="37"/>
      <c r="H72" s="33"/>
    </row>
    <row r="73" ht="15" customHeight="1" spans="1:8" x14ac:dyDescent="0.25">
      <c r="A73" s="38" t="s">
        <v>61</v>
      </c>
      <c r="B73" s="132"/>
      <c r="C73" s="37"/>
      <c r="D73" s="37"/>
      <c r="E73" s="133"/>
      <c r="F73" s="134"/>
      <c r="G73" s="38"/>
      <c r="H73" s="33"/>
    </row>
    <row r="74" ht="15" customHeight="1" spans="1:8" x14ac:dyDescent="0.25">
      <c r="A74" s="38" t="s">
        <v>48</v>
      </c>
      <c r="B74" s="114">
        <f>'[1]MEDIO LITRO'!D18</f>
      </c>
      <c r="C74" s="37"/>
      <c r="D74" s="37"/>
      <c r="E74" s="122"/>
      <c r="F74" s="122"/>
      <c r="G74" s="38" t="s">
        <v>35</v>
      </c>
      <c r="H74" s="33"/>
    </row>
    <row r="75" ht="15" customHeight="1" spans="1:8" x14ac:dyDescent="0.25">
      <c r="A75" s="38"/>
      <c r="B75" s="122" t="s">
        <v>49</v>
      </c>
      <c r="C75" s="122" t="s">
        <v>50</v>
      </c>
      <c r="D75" s="37" t="s">
        <v>51</v>
      </c>
      <c r="E75" s="37"/>
      <c r="F75" s="123" t="s">
        <v>52</v>
      </c>
      <c r="G75" s="123"/>
      <c r="H75" s="33"/>
    </row>
    <row r="76" ht="15" customHeight="1" spans="1:8" x14ac:dyDescent="0.25">
      <c r="A76" s="124" t="s">
        <v>54</v>
      </c>
      <c r="B76" s="54">
        <f>'[1]MEDIO LITRO'!AG18</f>
      </c>
      <c r="C76" s="54">
        <f>'[1]MEDIO LITRO'!AH16</f>
      </c>
      <c r="D76" s="135">
        <f>'[1]MEDIO LITRO'!AI18</f>
      </c>
      <c r="E76" s="37"/>
      <c r="F76" s="87">
        <f>'[1]MEDIO LITRO'!AM18</f>
      </c>
      <c r="G76" s="136"/>
      <c r="H76" s="33"/>
    </row>
    <row r="77" ht="15" customHeight="1" spans="1:8" x14ac:dyDescent="0.25">
      <c r="A77" s="124"/>
      <c r="B77" s="137" t="s">
        <v>35</v>
      </c>
      <c r="C77" s="137"/>
      <c r="D77" s="138"/>
      <c r="E77" s="37"/>
      <c r="F77" s="136"/>
      <c r="G77" s="136"/>
      <c r="H77" s="33"/>
    </row>
    <row r="78" ht="15" customHeight="1" spans="1:8" x14ac:dyDescent="0.25">
      <c r="A78" s="3" t="s">
        <v>62</v>
      </c>
      <c r="B78" s="137"/>
      <c r="C78" s="137"/>
      <c r="D78" s="138"/>
      <c r="E78" s="37"/>
      <c r="F78" s="136"/>
      <c r="G78" s="136"/>
      <c r="H78" s="33"/>
    </row>
    <row r="79" ht="15" customHeight="1" spans="1:8" x14ac:dyDescent="0.25">
      <c r="A79" s="3" t="s">
        <v>62</v>
      </c>
      <c r="B79" s="139">
        <f>[1]TUNEL!E18</f>
      </c>
      <c r="C79" s="114"/>
      <c r="D79" s="54" t="s">
        <v>22</v>
      </c>
      <c r="E79" s="54"/>
      <c r="F79" s="54"/>
      <c r="G79" s="54" t="s">
        <v>63</v>
      </c>
      <c r="H79" s="33"/>
    </row>
    <row r="80" ht="15" customHeight="1" spans="1:8" x14ac:dyDescent="0.25">
      <c r="A80" s="35"/>
      <c r="B80" s="114">
        <f>[1]TUNEL!R18</f>
      </c>
      <c r="C80" s="114"/>
      <c r="D80" s="114">
        <f>[1]TUNEL!L18</f>
      </c>
      <c r="E80" s="114"/>
      <c r="F80" s="114"/>
      <c r="G80" s="140">
        <f>[1]TUNEL!M18</f>
      </c>
      <c r="H80" s="33"/>
    </row>
    <row r="81" ht="15" customHeight="1" spans="1:8" x14ac:dyDescent="0.25">
      <c r="A81" s="35"/>
      <c r="B81" s="114"/>
      <c r="C81" s="114"/>
      <c r="D81" s="54" t="s">
        <v>64</v>
      </c>
      <c r="E81" s="54"/>
      <c r="F81" s="54"/>
      <c r="G81" s="140"/>
      <c r="H81" s="33"/>
    </row>
    <row r="82" ht="15" customHeight="1" spans="1:8" x14ac:dyDescent="0.25">
      <c r="A82" s="38"/>
      <c r="B82" s="122" t="s">
        <v>49</v>
      </c>
      <c r="C82" s="122" t="s">
        <v>50</v>
      </c>
      <c r="D82" s="37" t="s">
        <v>51</v>
      </c>
      <c r="E82" s="37"/>
      <c r="F82" s="136"/>
      <c r="G82" s="141"/>
      <c r="H82" s="33"/>
    </row>
    <row r="83" ht="15" customHeight="1" spans="1:8" x14ac:dyDescent="0.25">
      <c r="A83" s="124" t="s">
        <v>54</v>
      </c>
      <c r="B83" s="142">
        <f>[1]TUNEL!F18</f>
      </c>
      <c r="C83" s="142">
        <f>[1]TUNEL!G18</f>
      </c>
      <c r="D83" s="143">
        <f>[1]TUNEL!H18</f>
      </c>
      <c r="E83" s="37"/>
      <c r="F83" s="136"/>
      <c r="G83" s="136"/>
      <c r="H83" s="33"/>
    </row>
    <row r="84" ht="13.8" customHeight="1" spans="1:8" x14ac:dyDescent="0.25">
      <c r="A84" s="33" t="s">
        <v>65</v>
      </c>
      <c r="B84" s="33"/>
      <c r="C84" s="33" t="s">
        <v>66</v>
      </c>
      <c r="D84" s="144"/>
      <c r="E84" s="144"/>
      <c r="F84" s="145"/>
      <c r="G84" s="33"/>
      <c r="H84" s="33"/>
    </row>
    <row r="85" ht="13.8" customHeight="1" spans="1:8" x14ac:dyDescent="0.25">
      <c r="A85" s="146"/>
      <c r="B85" s="146"/>
      <c r="C85" s="146"/>
      <c r="D85" s="146"/>
      <c r="E85" s="146"/>
      <c r="F85" s="146"/>
      <c r="G85" s="146"/>
      <c r="H85" s="146"/>
    </row>
    <row r="86" ht="15" customHeight="1" spans="1:8" x14ac:dyDescent="0.25">
      <c r="A86" s="147"/>
      <c r="B86" s="147"/>
      <c r="C86" s="147"/>
      <c r="D86" s="147"/>
      <c r="E86" s="147"/>
      <c r="F86" s="147"/>
      <c r="G86" s="147"/>
      <c r="H86" s="147"/>
    </row>
    <row r="87" ht="13.8" customHeight="1" spans="1:8" x14ac:dyDescent="0.25">
      <c r="A87" s="148"/>
      <c r="B87" s="148"/>
      <c r="C87" s="148"/>
      <c r="D87" s="148"/>
      <c r="E87" s="148"/>
      <c r="F87" s="148"/>
      <c r="G87" s="148"/>
      <c r="H87" s="148"/>
    </row>
    <row r="88" ht="13.8" customHeight="1" spans="1:8" x14ac:dyDescent="0.25">
      <c r="A88" s="149"/>
      <c r="B88" s="149"/>
      <c r="C88" s="149"/>
      <c r="D88" s="149"/>
      <c r="E88" s="149"/>
      <c r="F88" s="149"/>
      <c r="G88" s="149"/>
      <c r="H88" s="149"/>
    </row>
    <row r="89" ht="13.8" customHeight="1" spans="1:8" x14ac:dyDescent="0.25">
      <c r="A89" s="149"/>
      <c r="B89" s="149"/>
      <c r="C89" s="149"/>
      <c r="D89" s="149"/>
      <c r="E89" s="149"/>
      <c r="F89" s="149"/>
      <c r="G89" s="149"/>
      <c r="H89" s="149"/>
    </row>
    <row r="90" ht="15" customHeight="1" spans="1:8" x14ac:dyDescent="0.25">
      <c r="A90" s="150"/>
      <c r="B90" s="150"/>
      <c r="C90" s="151"/>
      <c r="D90" s="151"/>
      <c r="E90" s="152"/>
      <c r="F90" s="151"/>
      <c r="G90" s="153"/>
      <c r="H90" s="153"/>
    </row>
    <row r="91" ht="13.8" customHeight="1" spans="1:8" x14ac:dyDescent="0.25">
      <c r="A91" s="154"/>
      <c r="B91" s="155"/>
      <c r="C91" s="156"/>
      <c r="D91" s="155"/>
      <c r="E91" s="156"/>
      <c r="F91" s="155"/>
      <c r="G91" s="156"/>
      <c r="H91" s="157"/>
    </row>
    <row r="93" ht="22.05" customHeight="1" spans="1:11" x14ac:dyDescent="0.25">
      <c r="A93" s="1" t="s">
        <v>0</v>
      </c>
      <c r="B93" s="1" t="s">
        <v>0</v>
      </c>
      <c r="C93" s="1" t="s">
        <v>0</v>
      </c>
      <c r="D93" s="1" t="s">
        <v>0</v>
      </c>
      <c r="E93" s="1" t="s">
        <v>0</v>
      </c>
      <c r="F93" s="1" t="s">
        <v>0</v>
      </c>
      <c r="G93" s="1" t="s">
        <v>0</v>
      </c>
      <c r="H93" s="1" t="s">
        <v>0</v>
      </c>
      <c r="I93" s="1" t="s">
        <v>0</v>
      </c>
      <c r="J93" s="2"/>
      <c r="K93" s="2"/>
    </row>
    <row r="94" ht="15" customHeight="1" spans="1:11" x14ac:dyDescent="0.25">
      <c r="A94" s="3"/>
      <c r="B94" s="3"/>
      <c r="C94" s="3"/>
      <c r="D94" s="4" t="s">
        <v>1</v>
      </c>
      <c r="E94" s="5" t="s">
        <v>67</v>
      </c>
      <c r="F94" s="4" t="s">
        <v>3</v>
      </c>
      <c r="G94" s="6"/>
      <c r="H94" s="6"/>
      <c r="I94" s="6"/>
      <c r="J94" s="2"/>
      <c r="K94" s="2"/>
    </row>
    <row r="95" ht="15" customHeight="1" spans="1:11" x14ac:dyDescent="0.25">
      <c r="A95" s="3"/>
      <c r="B95" s="3"/>
      <c r="C95" s="3"/>
      <c r="D95" s="4"/>
      <c r="E95" s="5"/>
      <c r="F95" s="4"/>
      <c r="G95" s="6"/>
      <c r="H95" s="6"/>
      <c r="I95" s="6"/>
      <c r="J95" s="2"/>
      <c r="K95" s="2"/>
    </row>
    <row r="96" ht="15" customHeight="1" spans="1:11" x14ac:dyDescent="0.25">
      <c r="A96" s="7" t="s">
        <v>4</v>
      </c>
      <c r="B96" s="8" t="s">
        <v>5</v>
      </c>
      <c r="C96" s="8" t="s">
        <v>5</v>
      </c>
      <c r="D96" s="8" t="s">
        <v>5</v>
      </c>
      <c r="E96" s="8" t="s">
        <v>6</v>
      </c>
      <c r="F96" s="9" t="s">
        <v>7</v>
      </c>
      <c r="G96" s="9" t="s">
        <v>7</v>
      </c>
      <c r="H96" s="9" t="s">
        <v>7</v>
      </c>
      <c r="I96" s="10" t="s">
        <v>8</v>
      </c>
      <c r="J96" s="11" t="s">
        <v>9</v>
      </c>
      <c r="K96" s="2"/>
    </row>
    <row r="97" ht="15" customHeight="1" spans="1:11" x14ac:dyDescent="0.25">
      <c r="A97" s="12" t="s">
        <v>10</v>
      </c>
      <c r="B97" s="13" t="s">
        <v>11</v>
      </c>
      <c r="C97" s="14">
        <f>'[1]MEDIO GALON'!F19</f>
      </c>
      <c r="D97" s="15">
        <f>C97*25*2.2046+C98</f>
      </c>
      <c r="E97" s="16">
        <f>'[1]MEDIO GALON'!L94+'[1] GALON '!L19</f>
      </c>
      <c r="F97" s="13" t="s">
        <v>11</v>
      </c>
      <c r="G97" s="14">
        <f>'[1]MEDIO GALON'!I19</f>
      </c>
      <c r="H97" s="17">
        <f>G97*25*2.2046+G13</f>
      </c>
      <c r="I97" s="16">
        <f>'[1]MEDIO GALON'!AF9</f>
      </c>
      <c r="J97" s="19">
        <f>I107+I114</f>
      </c>
      <c r="K97" s="2"/>
    </row>
    <row r="98" ht="15" customHeight="1" spans="1:11" x14ac:dyDescent="0.25">
      <c r="A98" s="20"/>
      <c r="B98" s="21" t="s">
        <v>12</v>
      </c>
      <c r="C98" s="15">
        <f>'[1]MEDIO GALON'!G19</f>
      </c>
      <c r="D98" s="22"/>
      <c r="E98" s="22"/>
      <c r="F98" s="21" t="s">
        <v>12</v>
      </c>
      <c r="G98" s="15">
        <f>'[1]MEDIO GALON'!J19</f>
      </c>
      <c r="H98" s="22"/>
      <c r="I98" s="23"/>
      <c r="J98" s="19"/>
      <c r="K98" s="2"/>
    </row>
    <row r="99" ht="15" customHeight="1" spans="1:11" x14ac:dyDescent="0.25">
      <c r="A99" s="24" t="s">
        <v>13</v>
      </c>
      <c r="B99" s="25"/>
      <c r="C99" s="26"/>
      <c r="D99" s="27">
        <f>'[1]MEDIO GALON'!P19</f>
      </c>
      <c r="E99" s="28">
        <f>'[1]MEDIO GALON'!R19</f>
      </c>
      <c r="F99" s="28"/>
      <c r="G99" s="28"/>
      <c r="H99" s="27">
        <f>'[1]MEDIO GALON'!Q19</f>
      </c>
      <c r="I99" s="28">
        <f>D99+E99-H9</f>
      </c>
      <c r="J99" s="19">
        <f>I105+I112</f>
      </c>
      <c r="K99" s="2"/>
    </row>
    <row r="100" ht="15" customHeight="1" spans="1:11" x14ac:dyDescent="0.25">
      <c r="A100" s="24" t="s">
        <v>14</v>
      </c>
      <c r="B100" s="29">
        <f>'[1]MEDIO GALON'!O19</f>
      </c>
      <c r="C100" s="30"/>
      <c r="D100" s="31"/>
      <c r="E100" s="31"/>
      <c r="F100" s="31"/>
      <c r="G100" s="32"/>
      <c r="H100" s="31"/>
      <c r="I100" s="32"/>
      <c r="J100" s="2"/>
      <c r="K100" s="2"/>
    </row>
    <row r="101" ht="15" customHeight="1" spans="1:11" x14ac:dyDescent="0.25">
      <c r="A101" s="20" t="s">
        <v>15</v>
      </c>
      <c r="B101" s="29">
        <f>'[1]MEDIO GALON'!E19</f>
      </c>
      <c r="C101" s="30"/>
      <c r="D101" s="31"/>
      <c r="E101" s="31"/>
      <c r="F101" s="31"/>
      <c r="G101" s="31"/>
      <c r="H101" s="31"/>
      <c r="I101" s="31"/>
      <c r="J101" s="2"/>
      <c r="K101" s="2"/>
    </row>
    <row r="102" ht="15" customHeight="1" spans="1:11" x14ac:dyDescent="0.25">
      <c r="A102" s="33"/>
      <c r="B102" s="34"/>
      <c r="C102" s="34"/>
      <c r="D102" s="35"/>
      <c r="E102" s="35"/>
      <c r="F102" s="36"/>
      <c r="G102" s="37"/>
      <c r="H102" s="37"/>
      <c r="I102" s="38"/>
      <c r="J102" s="2"/>
      <c r="K102" s="2"/>
    </row>
    <row r="103" ht="15" customHeight="1" spans="1:11" x14ac:dyDescent="0.25">
      <c r="A103" s="39" t="s">
        <v>16</v>
      </c>
      <c r="B103" s="40" t="s">
        <v>17</v>
      </c>
      <c r="C103" s="41">
        <f>'[1]MEDIO GALON'!W19</f>
      </c>
      <c r="D103" s="42" t="s">
        <v>18</v>
      </c>
      <c r="E103" s="40"/>
      <c r="F103" s="43">
        <f>'[1]MEDIO GALON'!X19</f>
      </c>
      <c r="G103" s="44" t="s">
        <v>19</v>
      </c>
      <c r="H103" s="45">
        <f>'[1]MEDIO GALON'!Y19</f>
      </c>
      <c r="I103" s="46" t="s">
        <v>20</v>
      </c>
      <c r="J103" s="2"/>
      <c r="K103" s="2"/>
    </row>
    <row r="104" ht="15" customHeight="1" spans="1:11" x14ac:dyDescent="0.25">
      <c r="A104" s="47" t="s">
        <v>21</v>
      </c>
      <c r="B104" s="48">
        <f>'[1]MEDIO GALON'!Z19</f>
      </c>
      <c r="C104" s="49"/>
      <c r="D104" s="50"/>
      <c r="E104" s="50"/>
      <c r="F104" s="50"/>
      <c r="G104" s="51"/>
      <c r="H104" s="52" t="s">
        <v>22</v>
      </c>
      <c r="I104" s="46" t="s">
        <v>20</v>
      </c>
      <c r="J104" s="2"/>
      <c r="K104" s="2"/>
    </row>
    <row r="105" ht="15" customHeight="1" spans="1:11" x14ac:dyDescent="0.25">
      <c r="A105" s="53" t="s">
        <v>23</v>
      </c>
      <c r="B105" s="54">
        <f>'[1]MEDIO GALON'!AA19</f>
      </c>
      <c r="C105" s="54"/>
      <c r="D105" s="54"/>
      <c r="E105" s="54"/>
      <c r="F105" s="54"/>
      <c r="G105" s="55"/>
      <c r="H105" s="56">
        <f>'[1]MEDIO GALON'!S19</f>
      </c>
      <c r="I105" s="57">
        <f>SUM(B105:H105)</f>
      </c>
      <c r="J105" s="2"/>
      <c r="K105" s="2"/>
    </row>
    <row r="106" ht="15" customHeight="1" spans="1:11" x14ac:dyDescent="0.25">
      <c r="A106" s="53" t="s">
        <v>24</v>
      </c>
      <c r="B106" s="58">
        <f>'[1]MEDIO GALON'!AB19</f>
      </c>
      <c r="C106" s="58"/>
      <c r="D106" s="58"/>
      <c r="E106" s="58"/>
      <c r="F106" s="58"/>
      <c r="G106" s="58"/>
      <c r="H106" s="59"/>
      <c r="I106" s="57">
        <f>SUM(B106:H106)</f>
      </c>
      <c r="J106" s="2"/>
      <c r="K106" s="2"/>
    </row>
    <row r="107" ht="15" customHeight="1" spans="1:11" x14ac:dyDescent="0.25">
      <c r="A107" s="53" t="s">
        <v>25</v>
      </c>
      <c r="B107" s="87">
        <f>'[1]MEDIO GALON'!AH19</f>
      </c>
      <c r="C107" s="61"/>
      <c r="D107" s="54"/>
      <c r="E107" s="54"/>
      <c r="F107" s="54"/>
      <c r="G107" s="54"/>
      <c r="H107" s="54">
        <f>'[1]MEDIO GALON'!AG19</f>
      </c>
      <c r="I107" s="57">
        <f>SUM(B107:H107)</f>
      </c>
      <c r="J107" s="2"/>
      <c r="K107" s="2"/>
    </row>
    <row r="108" ht="15" customHeight="1" spans="1:11" x14ac:dyDescent="0.25">
      <c r="A108" s="158" t="s">
        <v>29</v>
      </c>
      <c r="B108" s="29">
        <f>'[1]MEDIO GALON'!D19</f>
      </c>
      <c r="C108" s="63"/>
      <c r="D108" s="54"/>
      <c r="E108" s="64"/>
      <c r="F108" s="30"/>
      <c r="G108" s="30"/>
      <c r="H108" s="65"/>
      <c r="I108" s="32"/>
      <c r="J108" s="2"/>
      <c r="K108" s="2"/>
    </row>
    <row r="109" ht="15" customHeight="1" spans="1:9" x14ac:dyDescent="0.25">
      <c r="A109" s="66"/>
      <c r="B109" s="67"/>
      <c r="C109" s="67"/>
      <c r="D109" s="68"/>
      <c r="E109" s="67"/>
      <c r="F109" s="69"/>
      <c r="G109" s="68"/>
      <c r="H109" s="68"/>
      <c r="I109" s="68"/>
    </row>
    <row r="110" ht="15" customHeight="1" spans="1:9" x14ac:dyDescent="0.25">
      <c r="A110" s="39" t="s">
        <v>28</v>
      </c>
      <c r="B110" s="40" t="s">
        <v>17</v>
      </c>
      <c r="C110" s="41">
        <f>'[1] GALON '!W19</f>
      </c>
      <c r="D110" s="42" t="s">
        <v>18</v>
      </c>
      <c r="E110" s="40"/>
      <c r="F110" s="43">
        <f>'[1] GALON '!X19</f>
      </c>
      <c r="G110" s="44" t="s">
        <v>19</v>
      </c>
      <c r="H110" s="45">
        <f>'[1] GALON '!Y19</f>
      </c>
      <c r="I110" s="70" t="s">
        <v>20</v>
      </c>
    </row>
    <row r="111" ht="15" customHeight="1" spans="1:9" x14ac:dyDescent="0.25">
      <c r="A111" s="47" t="s">
        <v>21</v>
      </c>
      <c r="B111" s="71">
        <f>'[1] GALON '!Z19</f>
      </c>
      <c r="C111" s="50"/>
      <c r="D111" s="50"/>
      <c r="E111" s="50"/>
      <c r="F111" s="50"/>
      <c r="G111" s="50"/>
      <c r="H111" s="52" t="s">
        <v>22</v>
      </c>
      <c r="I111" s="72"/>
    </row>
    <row r="112" ht="15" customHeight="1" spans="1:9" x14ac:dyDescent="0.25">
      <c r="A112" s="53" t="s">
        <v>23</v>
      </c>
      <c r="B112" s="54">
        <f>'[1] GALON '!AA19</f>
      </c>
      <c r="C112" s="54"/>
      <c r="D112" s="54"/>
      <c r="E112" s="54"/>
      <c r="F112" s="54"/>
      <c r="G112" s="54"/>
      <c r="H112" s="56">
        <f>'[1] GALON '!S17</f>
      </c>
      <c r="I112" s="57">
        <f>SUM(B112:H112)</f>
      </c>
    </row>
    <row r="113" ht="15" customHeight="1" spans="1:9" x14ac:dyDescent="0.25">
      <c r="A113" s="53" t="s">
        <v>24</v>
      </c>
      <c r="B113" s="58">
        <f>'[1] GALON '!AB19</f>
      </c>
      <c r="C113" s="58">
        <f>C112*54</f>
      </c>
      <c r="D113" s="58">
        <f>D112*54</f>
      </c>
      <c r="E113" s="58">
        <f>E112*54</f>
      </c>
      <c r="F113" s="58">
        <f>F112*54</f>
      </c>
      <c r="G113" s="58">
        <f>G112*54</f>
      </c>
      <c r="H113" s="59"/>
      <c r="I113" s="57">
        <f>SUM(B113:G113)</f>
      </c>
    </row>
    <row r="114" ht="15" customHeight="1" spans="1:9" x14ac:dyDescent="0.25">
      <c r="A114" s="73" t="s">
        <v>25</v>
      </c>
      <c r="B114" s="74">
        <f>'[1] GALON '!AH19</f>
      </c>
      <c r="C114" s="61"/>
      <c r="D114" s="54"/>
      <c r="E114" s="54"/>
      <c r="F114" s="54"/>
      <c r="G114" s="54"/>
      <c r="H114" s="54">
        <f>'[1] GALON '!AG17</f>
      </c>
      <c r="I114" s="57">
        <f>SUM(B114:G114)</f>
      </c>
    </row>
    <row r="115" ht="15" customHeight="1" spans="1:9" x14ac:dyDescent="0.25">
      <c r="A115" s="158" t="s">
        <v>68</v>
      </c>
      <c r="B115" s="54">
        <f>'[1] GALON '!D19</f>
      </c>
      <c r="C115" s="63"/>
      <c r="D115" s="54"/>
      <c r="E115" s="30"/>
      <c r="F115" s="30"/>
      <c r="G115" s="30"/>
      <c r="H115" s="65"/>
      <c r="I115" s="32"/>
    </row>
    <row r="116" ht="15" customHeight="1" spans="1:11" x14ac:dyDescent="0.25">
      <c r="A116" s="76"/>
      <c r="B116" s="77"/>
      <c r="C116" s="77"/>
      <c r="D116" s="78"/>
      <c r="E116" s="77"/>
      <c r="F116" s="78"/>
      <c r="G116" s="79"/>
      <c r="H116" s="80"/>
      <c r="I116" s="81"/>
      <c r="J116" s="2"/>
      <c r="K116" s="2"/>
    </row>
    <row r="117" ht="15" customHeight="1" spans="1:11" x14ac:dyDescent="0.25">
      <c r="A117" s="7" t="s">
        <v>4</v>
      </c>
      <c r="B117" s="8" t="s">
        <v>5</v>
      </c>
      <c r="C117" s="8" t="s">
        <v>5</v>
      </c>
      <c r="D117" s="8" t="s">
        <v>5</v>
      </c>
      <c r="E117" s="8" t="s">
        <v>6</v>
      </c>
      <c r="F117" s="9" t="s">
        <v>7</v>
      </c>
      <c r="G117" s="9" t="s">
        <v>7</v>
      </c>
      <c r="H117" s="9" t="s">
        <v>7</v>
      </c>
      <c r="I117" s="10" t="s">
        <v>8</v>
      </c>
      <c r="J117" s="11" t="s">
        <v>9</v>
      </c>
      <c r="K117" s="2"/>
    </row>
    <row r="118" ht="15" customHeight="1" spans="1:11" x14ac:dyDescent="0.25">
      <c r="A118" s="12" t="s">
        <v>10</v>
      </c>
      <c r="B118" s="13" t="s">
        <v>11</v>
      </c>
      <c r="C118" s="14"/>
      <c r="D118" s="15">
        <f>C118*25*2.2046</f>
      </c>
      <c r="E118" s="16">
        <f>[1]LITRO!L19</f>
      </c>
      <c r="F118" s="13" t="s">
        <v>11</v>
      </c>
      <c r="G118" s="14"/>
      <c r="H118" s="15"/>
      <c r="I118" s="16">
        <f>I128+I135</f>
      </c>
      <c r="J118" s="19">
        <f>I128</f>
      </c>
      <c r="K118" s="2"/>
    </row>
    <row r="119" ht="15" customHeight="1" spans="1:11" x14ac:dyDescent="0.25">
      <c r="A119" s="20"/>
      <c r="B119" s="21" t="s">
        <v>12</v>
      </c>
      <c r="C119" s="15"/>
      <c r="D119" s="22"/>
      <c r="E119" s="22"/>
      <c r="F119" s="21" t="s">
        <v>12</v>
      </c>
      <c r="G119" s="15"/>
      <c r="H119" s="22"/>
      <c r="I119" s="23"/>
      <c r="J119" s="19"/>
      <c r="K119" s="2"/>
    </row>
    <row r="120" ht="15" customHeight="1" spans="1:11" x14ac:dyDescent="0.25">
      <c r="A120" s="24" t="s">
        <v>13</v>
      </c>
      <c r="B120" s="28"/>
      <c r="C120" s="83"/>
      <c r="D120" s="27"/>
      <c r="E120" s="28">
        <f>[1]LITRO!R19</f>
      </c>
      <c r="F120" s="28"/>
      <c r="G120" s="28"/>
      <c r="H120" s="27"/>
      <c r="I120" s="28">
        <f>D120+E120-H120</f>
      </c>
      <c r="J120" s="19">
        <f>I126+I133</f>
      </c>
      <c r="K120" s="2"/>
    </row>
    <row r="121" ht="15" customHeight="1" spans="1:11" x14ac:dyDescent="0.25">
      <c r="A121" s="24" t="s">
        <v>14</v>
      </c>
      <c r="B121" s="29" t="str">
        <f>[1]LITRO!O13</f>
        <v>No.4642 F 26869</v>
      </c>
      <c r="C121" s="30"/>
      <c r="D121" s="31"/>
      <c r="E121" s="31"/>
      <c r="F121" s="31"/>
      <c r="G121" s="32"/>
      <c r="H121" s="31"/>
      <c r="I121" s="32"/>
      <c r="J121" s="2"/>
      <c r="K121" s="2"/>
    </row>
    <row r="122" ht="15" customHeight="1" spans="1:11" x14ac:dyDescent="0.25">
      <c r="A122" s="20" t="s">
        <v>15</v>
      </c>
      <c r="B122" s="29" t="str">
        <f>[1]LITRO!E13</f>
        <v>NSE110725</v>
      </c>
      <c r="C122" s="30"/>
      <c r="D122" s="31"/>
      <c r="E122" s="31"/>
      <c r="F122" s="31"/>
      <c r="G122" s="31"/>
      <c r="H122" s="31"/>
      <c r="I122" s="31"/>
      <c r="J122" s="2"/>
      <c r="K122" s="2"/>
    </row>
    <row r="123" ht="15" customHeight="1" spans="1:11" x14ac:dyDescent="0.25">
      <c r="A123" s="33"/>
      <c r="B123" s="34"/>
      <c r="C123" s="34"/>
      <c r="D123" s="35"/>
      <c r="E123" s="35"/>
      <c r="F123" s="36"/>
      <c r="G123" s="37"/>
      <c r="H123" s="37"/>
      <c r="I123" s="38"/>
      <c r="J123" s="2"/>
      <c r="K123" s="2"/>
    </row>
    <row r="124" ht="15" customHeight="1" spans="1:11" x14ac:dyDescent="0.25">
      <c r="A124" s="39" t="s">
        <v>31</v>
      </c>
      <c r="B124" s="84" t="s">
        <v>17</v>
      </c>
      <c r="C124" s="84" t="s">
        <v>17</v>
      </c>
      <c r="D124" s="85">
        <f>[1]LITRO!W19</f>
      </c>
      <c r="E124" s="86" t="s">
        <v>18</v>
      </c>
      <c r="F124" s="85">
        <f>[1]LITRO!X19</f>
      </c>
      <c r="G124" s="44" t="s">
        <v>19</v>
      </c>
      <c r="H124" s="45">
        <f>[1]LITRO!Y19</f>
      </c>
      <c r="I124" s="46" t="s">
        <v>20</v>
      </c>
      <c r="J124" s="2"/>
      <c r="K124" s="2"/>
    </row>
    <row r="125" ht="15" customHeight="1" spans="1:11" x14ac:dyDescent="0.25">
      <c r="A125" s="47" t="s">
        <v>21</v>
      </c>
      <c r="B125" s="50" t="s">
        <v>69</v>
      </c>
      <c r="C125" s="50"/>
      <c r="D125" s="50"/>
      <c r="E125" s="50"/>
      <c r="F125" s="50"/>
      <c r="G125" s="51"/>
      <c r="H125" s="52" t="s">
        <v>22</v>
      </c>
      <c r="I125" s="46" t="s">
        <v>20</v>
      </c>
      <c r="J125" s="2"/>
      <c r="K125" s="2"/>
    </row>
    <row r="126" ht="15" customHeight="1" spans="1:11" x14ac:dyDescent="0.25">
      <c r="A126" s="53" t="s">
        <v>23</v>
      </c>
      <c r="B126" s="54"/>
      <c r="C126" s="54"/>
      <c r="D126" s="54"/>
      <c r="E126" s="54"/>
      <c r="F126" s="54"/>
      <c r="G126" s="55"/>
      <c r="H126" s="56">
        <f>[1]LITRO!S19</f>
      </c>
      <c r="I126" s="57">
        <f>SUM(B126:H126)</f>
      </c>
      <c r="J126" s="2"/>
      <c r="K126" s="2"/>
    </row>
    <row r="127" ht="15" customHeight="1" spans="1:11" x14ac:dyDescent="0.25">
      <c r="A127" s="53" t="s">
        <v>24</v>
      </c>
      <c r="B127" s="58"/>
      <c r="C127" s="58"/>
      <c r="D127" s="58"/>
      <c r="E127" s="58"/>
      <c r="F127" s="58"/>
      <c r="G127" s="58"/>
      <c r="H127" s="59">
        <v>0</v>
      </c>
      <c r="I127" s="57">
        <f>SUM(B127:G127)</f>
      </c>
      <c r="J127" s="2"/>
      <c r="K127" s="2"/>
    </row>
    <row r="128" ht="15" customHeight="1" spans="1:11" x14ac:dyDescent="0.25">
      <c r="A128" s="53" t="s">
        <v>25</v>
      </c>
      <c r="B128" s="87"/>
      <c r="C128" s="61"/>
      <c r="D128" s="54"/>
      <c r="E128" s="54"/>
      <c r="F128" s="54"/>
      <c r="G128" s="54"/>
      <c r="H128" s="54"/>
      <c r="I128" s="57">
        <f>SUM(B128:G128)</f>
      </c>
      <c r="J128" s="2"/>
      <c r="K128" s="2"/>
    </row>
    <row r="129" ht="15" customHeight="1" spans="1:9" x14ac:dyDescent="0.25">
      <c r="A129" s="158" t="s">
        <v>70</v>
      </c>
      <c r="B129" s="159"/>
      <c r="C129" s="159"/>
      <c r="D129" s="63" t="s">
        <v>27</v>
      </c>
      <c r="E129" s="160"/>
      <c r="F129" s="30"/>
      <c r="G129" s="30"/>
      <c r="H129" s="65"/>
      <c r="I129" s="32"/>
    </row>
    <row r="130" ht="15" customHeight="1" spans="1:11" x14ac:dyDescent="0.25">
      <c r="A130" s="90"/>
      <c r="B130" s="90"/>
      <c r="C130" s="90"/>
      <c r="D130" s="90"/>
      <c r="E130" s="90"/>
      <c r="F130" s="90"/>
      <c r="G130" s="90"/>
      <c r="H130" s="90"/>
      <c r="I130" s="90"/>
      <c r="J130" s="2"/>
      <c r="K130" s="2"/>
    </row>
    <row r="131" ht="15" customHeight="1" spans="1:11" x14ac:dyDescent="0.25">
      <c r="A131" s="90"/>
      <c r="B131" s="90"/>
      <c r="C131" s="90"/>
      <c r="D131" s="90"/>
      <c r="E131" s="90"/>
      <c r="F131" s="90"/>
      <c r="G131" s="90"/>
      <c r="H131" s="90"/>
      <c r="I131" s="90"/>
      <c r="J131" s="2"/>
      <c r="K131" s="2"/>
    </row>
    <row r="132" ht="15" customHeight="1" spans="1:11" x14ac:dyDescent="0.25">
      <c r="A132" s="90"/>
      <c r="B132" s="90"/>
      <c r="C132" s="90"/>
      <c r="D132" s="90"/>
      <c r="E132" s="90"/>
      <c r="F132" s="90"/>
      <c r="G132" s="90"/>
      <c r="H132" s="90"/>
      <c r="I132" s="90"/>
      <c r="J132" s="2"/>
      <c r="K132" s="2"/>
    </row>
    <row r="133" ht="15" customHeight="1" spans="1:11" x14ac:dyDescent="0.25">
      <c r="A133" s="90"/>
      <c r="B133" s="91"/>
      <c r="C133" s="91"/>
      <c r="D133" s="91"/>
      <c r="E133" s="91"/>
      <c r="F133" s="90"/>
      <c r="G133" s="90"/>
      <c r="H133" s="90"/>
      <c r="I133" s="90"/>
      <c r="J133" s="2"/>
      <c r="K133" s="2"/>
    </row>
    <row r="134" ht="22.05" customHeight="1" spans="1:11" x14ac:dyDescent="0.25">
      <c r="A134" s="161" t="s">
        <v>32</v>
      </c>
      <c r="B134" s="161" t="s">
        <v>32</v>
      </c>
      <c r="C134" s="161" t="s">
        <v>32</v>
      </c>
      <c r="D134" s="161" t="s">
        <v>32</v>
      </c>
      <c r="E134" s="161" t="s">
        <v>32</v>
      </c>
      <c r="F134" s="161" t="s">
        <v>32</v>
      </c>
      <c r="G134" s="161" t="s">
        <v>32</v>
      </c>
      <c r="H134" s="161" t="s">
        <v>32</v>
      </c>
      <c r="I134" s="64"/>
      <c r="J134" s="2"/>
      <c r="K134" s="2"/>
    </row>
    <row r="135" ht="13.8" customHeight="1" spans="1:11" x14ac:dyDescent="0.25">
      <c r="A135" s="33"/>
      <c r="B135" s="97"/>
      <c r="C135" s="97"/>
      <c r="D135" s="33"/>
      <c r="E135" s="33"/>
      <c r="F135" s="33"/>
      <c r="G135" s="33"/>
      <c r="H135" s="33"/>
      <c r="I135" s="64"/>
      <c r="J135" s="2"/>
      <c r="K135" s="2"/>
    </row>
    <row r="136" ht="13.8" customHeight="1" spans="1:11" x14ac:dyDescent="0.25">
      <c r="A136" s="98" t="s">
        <v>27</v>
      </c>
      <c r="B136" s="162" t="str">
        <f>[1]TAPAS!C17</f>
        <v>CARLOS</v>
      </c>
      <c r="C136" s="98" t="s">
        <v>1</v>
      </c>
      <c r="D136" s="100" t="s">
        <v>67</v>
      </c>
      <c r="E136" s="98" t="s">
        <v>3</v>
      </c>
      <c r="F136" s="101"/>
      <c r="G136" s="101"/>
      <c r="H136" s="101"/>
      <c r="I136" s="64"/>
      <c r="J136" s="2"/>
      <c r="K136" s="2"/>
    </row>
    <row r="137" ht="13.8" customHeight="1" spans="1:11" x14ac:dyDescent="0.25">
      <c r="A137" s="102" t="s">
        <v>34</v>
      </c>
      <c r="B137" s="103"/>
      <c r="C137" s="104"/>
      <c r="D137" s="33"/>
      <c r="E137" s="33"/>
      <c r="F137" s="33" t="s">
        <v>35</v>
      </c>
      <c r="G137" s="103"/>
      <c r="H137" s="33"/>
      <c r="I137" s="64"/>
      <c r="J137" s="2"/>
      <c r="K137" s="2"/>
    </row>
    <row r="138" ht="13.8" customHeight="1" spans="1:11" x14ac:dyDescent="0.25">
      <c r="A138" s="102" t="s">
        <v>34</v>
      </c>
      <c r="B138" s="33"/>
      <c r="C138" s="105" t="s">
        <v>36</v>
      </c>
      <c r="D138" s="105" t="s">
        <v>37</v>
      </c>
      <c r="E138" s="105" t="s">
        <v>38</v>
      </c>
      <c r="F138" s="105" t="s">
        <v>22</v>
      </c>
      <c r="G138" s="105" t="s">
        <v>8</v>
      </c>
      <c r="H138" s="105" t="s">
        <v>39</v>
      </c>
      <c r="I138" s="64"/>
      <c r="J138" s="2"/>
      <c r="K138" s="2"/>
    </row>
    <row r="139" ht="15" customHeight="1" spans="1:11" x14ac:dyDescent="0.25">
      <c r="A139" s="38"/>
      <c r="B139" s="38"/>
      <c r="C139" s="87"/>
      <c r="D139" s="87">
        <f>[1]TAPAS!R103*25</f>
      </c>
      <c r="E139" s="87"/>
      <c r="F139" s="87">
        <f>[1]TAPAS!AG103</f>
      </c>
      <c r="G139" s="87"/>
      <c r="H139" s="105"/>
      <c r="I139" s="64"/>
      <c r="J139" s="2"/>
      <c r="K139" s="2"/>
    </row>
    <row r="140" ht="15" customHeight="1" spans="1:11" x14ac:dyDescent="0.25">
      <c r="A140" s="38" t="s">
        <v>40</v>
      </c>
      <c r="B140" s="38"/>
      <c r="C140" s="61"/>
      <c r="D140" s="54">
        <f>[1]TAPAS!AK103</f>
      </c>
      <c r="E140" s="61"/>
      <c r="F140" s="54">
        <f>[1]TAPAS!AM103</f>
      </c>
      <c r="G140" s="106"/>
      <c r="H140" s="105">
        <f>[1]TAPAS!AH103</f>
      </c>
      <c r="I140" s="64"/>
      <c r="J140" s="2"/>
      <c r="K140" s="2"/>
    </row>
    <row r="141" ht="15" customHeight="1" spans="1:11" x14ac:dyDescent="0.25">
      <c r="A141" s="38" t="s">
        <v>41</v>
      </c>
      <c r="B141" s="38"/>
      <c r="C141" s="61"/>
      <c r="D141" s="54">
        <f>[1]TAPAS!X103</f>
      </c>
      <c r="E141" s="61">
        <f>[1]TAPAS!W19</f>
        <v>10</v>
      </c>
      <c r="F141" s="54">
        <f>[1]TAPAS!Y103</f>
      </c>
      <c r="G141" s="106"/>
      <c r="H141" s="54">
        <f>[1]TAPAS!U103</f>
      </c>
      <c r="I141" s="107"/>
      <c r="J141" s="2"/>
      <c r="K141" s="2"/>
    </row>
    <row r="142" ht="15" customHeight="1" spans="1:11" x14ac:dyDescent="0.25">
      <c r="A142" s="37" t="s">
        <v>42</v>
      </c>
      <c r="B142" s="37" t="s">
        <v>43</v>
      </c>
      <c r="C142" s="109"/>
      <c r="D142" s="38"/>
      <c r="E142" s="109"/>
      <c r="F142" s="38"/>
      <c r="G142" s="110"/>
      <c r="H142" s="33"/>
      <c r="I142" s="107"/>
      <c r="J142" s="2"/>
      <c r="K142" s="2"/>
    </row>
    <row r="143" ht="15" customHeight="1" spans="1:11" x14ac:dyDescent="0.25">
      <c r="A143" s="111"/>
      <c r="B143" s="54"/>
      <c r="C143" s="60"/>
      <c r="D143" s="60">
        <f>[1]TAPAS!J19</f>
      </c>
      <c r="E143" s="60"/>
      <c r="F143" s="60"/>
      <c r="G143" s="60"/>
      <c r="H143" s="33"/>
      <c r="I143" s="107"/>
      <c r="J143" s="2"/>
      <c r="K143" s="2"/>
    </row>
    <row r="144" ht="15" customHeight="1" spans="1:11" x14ac:dyDescent="0.25">
      <c r="A144" s="54"/>
      <c r="B144" s="54"/>
      <c r="C144" s="112"/>
      <c r="D144" s="112"/>
      <c r="E144" s="112"/>
      <c r="F144" s="112"/>
      <c r="G144" s="112"/>
      <c r="H144" s="33"/>
      <c r="I144" s="107"/>
      <c r="J144" s="2"/>
      <c r="K144" s="2"/>
    </row>
    <row r="145" ht="15" customHeight="1" spans="1:11" x14ac:dyDescent="0.25">
      <c r="A145" s="38"/>
      <c r="B145" s="38"/>
      <c r="C145" s="113"/>
      <c r="D145" s="113"/>
      <c r="E145" s="36"/>
      <c r="F145" s="38"/>
      <c r="G145" s="38"/>
      <c r="H145" s="33"/>
      <c r="I145" s="64"/>
      <c r="J145" s="2"/>
      <c r="K145" s="2"/>
    </row>
    <row r="146" ht="15" customHeight="1" spans="1:8" x14ac:dyDescent="0.25">
      <c r="A146" s="38" t="s">
        <v>44</v>
      </c>
      <c r="B146" s="126"/>
      <c r="C146" s="126">
        <f>'[1]MEDIO LITRO'!V19</f>
      </c>
      <c r="D146" s="126"/>
      <c r="E146" s="126">
        <f>'[1]MEDIO LITRO'!U20</f>
      </c>
      <c r="F146" s="127">
        <f>'[1]MEDIO LITRO'!T19</f>
      </c>
      <c r="G146" s="105"/>
      <c r="H146" s="116" t="s">
        <v>20</v>
      </c>
    </row>
    <row r="147" ht="15" customHeight="1" spans="1:8" x14ac:dyDescent="0.25">
      <c r="A147" s="38" t="s">
        <v>45</v>
      </c>
      <c r="B147" s="129"/>
      <c r="C147" s="54"/>
      <c r="D147" s="129"/>
      <c r="E147" s="54">
        <f>'[1]MEDIO LITRO'!AB19</f>
      </c>
      <c r="F147" s="129">
        <f>'[1]MEDIO LITRO'!AC19</f>
      </c>
      <c r="G147" s="12"/>
      <c r="H147" s="163">
        <f>SUM(B147:G147)</f>
      </c>
    </row>
    <row r="148" ht="15" customHeight="1" spans="1:8" x14ac:dyDescent="0.25">
      <c r="A148" s="38" t="s">
        <v>46</v>
      </c>
      <c r="B148" s="61"/>
      <c r="C148" s="60">
        <f>'[1]MEDIO LITRO'!I19</f>
      </c>
      <c r="D148" s="129">
        <f>'[1]MEDIO LITRO'!H19</f>
      </c>
      <c r="E148" s="60">
        <f>'[1]MEDIO LITRO'!J19</f>
      </c>
      <c r="F148" s="131">
        <f>'[1]MEDIO LITRO'!K19</f>
      </c>
      <c r="G148" s="115">
        <f>'[1]MEDIO LITRO'!E19</f>
      </c>
      <c r="H148" s="163">
        <f>SUM(B148:G148)</f>
      </c>
    </row>
    <row r="149" ht="15" customHeight="1" spans="1:8" x14ac:dyDescent="0.25">
      <c r="A149" s="38" t="s">
        <v>47</v>
      </c>
      <c r="B149" s="22"/>
      <c r="C149" s="22"/>
      <c r="D149" s="37"/>
      <c r="E149" s="109"/>
      <c r="F149" s="109"/>
      <c r="G149" s="37"/>
      <c r="H149" s="163">
        <f>SUM(B149:G149)</f>
      </c>
    </row>
    <row r="150" ht="15" customHeight="1" spans="1:8" x14ac:dyDescent="0.25">
      <c r="A150" s="38" t="s">
        <v>61</v>
      </c>
      <c r="B150" s="54">
        <f>'[1]MEDIO LITRO'!AK19</f>
      </c>
      <c r="C150" s="22"/>
      <c r="D150" s="37"/>
      <c r="E150" s="37"/>
      <c r="F150" s="37"/>
      <c r="G150" s="37"/>
      <c r="H150" s="164"/>
    </row>
    <row r="151" ht="15" customHeight="1" spans="1:8" x14ac:dyDescent="0.25">
      <c r="A151" s="38" t="s">
        <v>48</v>
      </c>
      <c r="B151" s="132"/>
      <c r="C151" s="37"/>
      <c r="D151" s="37"/>
      <c r="E151" s="133"/>
      <c r="F151" s="134"/>
      <c r="G151" s="38"/>
      <c r="H151" s="33"/>
    </row>
    <row r="152" ht="15" customHeight="1" spans="1:8" x14ac:dyDescent="0.25">
      <c r="A152" s="38"/>
      <c r="B152" s="37" t="s">
        <v>71</v>
      </c>
      <c r="C152" s="37" t="s">
        <v>72</v>
      </c>
      <c r="D152" s="37" t="s">
        <v>73</v>
      </c>
      <c r="E152" s="37"/>
      <c r="F152" s="37"/>
      <c r="G152" s="165"/>
      <c r="H152" s="33"/>
    </row>
    <row r="153" ht="15" customHeight="1" spans="1:8" x14ac:dyDescent="0.25">
      <c r="A153" s="124" t="s">
        <v>54</v>
      </c>
      <c r="B153" s="121">
        <f>[1]TAPAS!AP19</f>
      </c>
      <c r="C153" s="111">
        <f>[1]TAPAS!AQ19</f>
      </c>
      <c r="D153" s="87">
        <f>[1]TAPAS!AR19</f>
      </c>
      <c r="E153" s="37"/>
      <c r="F153" s="87">
        <f>[1]TAPAS!AS19</f>
      </c>
      <c r="G153" s="38" t="s">
        <v>35</v>
      </c>
      <c r="H153" s="33"/>
    </row>
    <row r="154" ht="15" customHeight="1" spans="1:8" x14ac:dyDescent="0.25">
      <c r="A154" s="3" t="s">
        <v>55</v>
      </c>
      <c r="B154" s="38"/>
      <c r="C154" s="38"/>
      <c r="D154" s="38"/>
      <c r="E154" s="38"/>
      <c r="F154" s="38"/>
      <c r="G154" s="38"/>
      <c r="H154" s="33"/>
    </row>
    <row r="155" ht="15" customHeight="1" spans="1:8" x14ac:dyDescent="0.25">
      <c r="A155" s="3" t="s">
        <v>55</v>
      </c>
      <c r="B155" s="37" t="s">
        <v>36</v>
      </c>
      <c r="C155" s="37" t="s">
        <v>37</v>
      </c>
      <c r="D155" s="37" t="s">
        <v>38</v>
      </c>
      <c r="E155" s="37" t="s">
        <v>22</v>
      </c>
      <c r="F155" s="37" t="s">
        <v>56</v>
      </c>
      <c r="G155" s="166" t="s">
        <v>39</v>
      </c>
      <c r="H155" s="33"/>
    </row>
    <row r="156" ht="15" customHeight="1" spans="1:8" x14ac:dyDescent="0.25">
      <c r="A156" s="38" t="s">
        <v>57</v>
      </c>
      <c r="B156" s="126"/>
      <c r="C156" s="126">
        <f>'[1]MEDIO LITRO'!V19</f>
      </c>
      <c r="D156" s="126"/>
      <c r="E156" s="126">
        <f>'[1]MEDIO LITRO'!AB19</f>
      </c>
      <c r="F156" s="127">
        <f>'[1]MEDIO LITRO'!T19</f>
      </c>
      <c r="G156" s="105"/>
      <c r="H156" s="128"/>
    </row>
    <row r="157" ht="15" customHeight="1" spans="1:8" x14ac:dyDescent="0.25">
      <c r="A157" s="38" t="s">
        <v>47</v>
      </c>
      <c r="B157" s="129"/>
      <c r="C157" s="54"/>
      <c r="D157" s="129"/>
      <c r="E157" s="54">
        <f>'[1]MEDIO LITRO'!AB19</f>
      </c>
      <c r="F157" s="129">
        <f>'[1]MEDIO LITRO'!AC19</f>
      </c>
      <c r="G157" s="105"/>
      <c r="H157" s="128"/>
    </row>
    <row r="158" ht="15" customHeight="1" spans="1:8" x14ac:dyDescent="0.25">
      <c r="A158" s="38" t="s">
        <v>58</v>
      </c>
      <c r="B158" s="60">
        <f>'[1]MEDIO LITRO'!G19</f>
      </c>
      <c r="C158" s="60">
        <f>'[1]MEDIO LITRO'!I19</f>
      </c>
      <c r="D158" s="129">
        <f>'[1]MEDIO LITRO'!H19</f>
      </c>
      <c r="E158" s="60">
        <f>'[1]MEDIO LITRO'!J19</f>
      </c>
      <c r="F158" s="131">
        <f>'[1]MEDIO LITRO'!K19</f>
      </c>
      <c r="G158" s="54">
        <f>'[1]MEDIO LITRO'!E19</f>
      </c>
      <c r="H158" s="33"/>
    </row>
    <row r="159" ht="15" customHeight="1" spans="1:8" x14ac:dyDescent="0.25">
      <c r="A159" s="38" t="s">
        <v>45</v>
      </c>
      <c r="B159" s="22" t="s">
        <v>59</v>
      </c>
      <c r="C159" s="22" t="s">
        <v>60</v>
      </c>
      <c r="D159" s="37"/>
      <c r="E159" s="109"/>
      <c r="F159" s="109"/>
      <c r="G159" s="37"/>
      <c r="H159" s="33"/>
    </row>
    <row r="160" ht="15" customHeight="1" spans="1:8" x14ac:dyDescent="0.25">
      <c r="A160" s="38" t="s">
        <v>74</v>
      </c>
      <c r="B160" s="54">
        <f>'[1]MEDIO LITRO'!AK19</f>
      </c>
      <c r="C160" s="22">
        <f>'[1]MEDIO LITRO'!AL19</f>
      </c>
      <c r="D160" s="37"/>
      <c r="E160" s="37"/>
      <c r="F160" s="37"/>
      <c r="G160" s="37"/>
      <c r="H160" s="33"/>
    </row>
    <row r="161" ht="15" customHeight="1" spans="1:8" x14ac:dyDescent="0.25">
      <c r="A161" s="38" t="s">
        <v>61</v>
      </c>
      <c r="B161" s="132"/>
      <c r="C161" s="37"/>
      <c r="D161" s="37"/>
      <c r="E161" s="133"/>
      <c r="F161" s="134"/>
      <c r="G161" s="38"/>
      <c r="H161" s="33"/>
    </row>
    <row r="162" ht="15" customHeight="1" spans="1:8" x14ac:dyDescent="0.25">
      <c r="A162" s="38" t="s">
        <v>75</v>
      </c>
      <c r="B162" s="54"/>
      <c r="C162" s="37"/>
      <c r="D162" s="37"/>
      <c r="E162" s="37"/>
      <c r="F162" s="37"/>
      <c r="G162" s="165"/>
      <c r="H162" s="33"/>
    </row>
    <row r="163" ht="15" customHeight="1" spans="1:8" x14ac:dyDescent="0.25">
      <c r="A163" s="38" t="s">
        <v>76</v>
      </c>
      <c r="B163" s="114">
        <f>'[1]MEDIO LITRO'!D19</f>
      </c>
      <c r="C163" s="37"/>
      <c r="D163" s="37"/>
      <c r="E163" s="122"/>
      <c r="F163" s="122"/>
      <c r="G163" s="38" t="s">
        <v>35</v>
      </c>
      <c r="H163" s="33"/>
    </row>
    <row r="164" ht="15" customHeight="1" spans="1:8" x14ac:dyDescent="0.25">
      <c r="A164" s="64"/>
      <c r="B164" s="37"/>
      <c r="C164" s="37"/>
      <c r="D164" s="37"/>
      <c r="E164" s="122"/>
      <c r="F164" s="122"/>
      <c r="G164" s="38" t="s">
        <v>35</v>
      </c>
      <c r="H164" s="33"/>
    </row>
    <row r="165" ht="15" customHeight="1" spans="1:8" x14ac:dyDescent="0.25">
      <c r="A165" s="38"/>
      <c r="B165" s="122" t="s">
        <v>49</v>
      </c>
      <c r="C165" s="122" t="s">
        <v>50</v>
      </c>
      <c r="D165" s="37" t="s">
        <v>51</v>
      </c>
      <c r="E165" s="37"/>
      <c r="F165" s="97" t="s">
        <v>52</v>
      </c>
      <c r="G165" s="123" t="s">
        <v>77</v>
      </c>
      <c r="H165" s="33"/>
    </row>
    <row r="166" ht="15" customHeight="1" spans="1:8" x14ac:dyDescent="0.25">
      <c r="A166" s="124" t="s">
        <v>54</v>
      </c>
      <c r="B166" s="54">
        <f>'[1]MEDIO LITRO'!AG19</f>
      </c>
      <c r="C166" s="54">
        <f>'[1]MEDIO LITRO'!AH19</f>
      </c>
      <c r="D166" s="135">
        <f>'[1]MEDIO LITRO'!AI19</f>
      </c>
      <c r="E166" s="37"/>
      <c r="F166" s="87">
        <f>'[1]MEDIO LITRO'!AM19</f>
      </c>
      <c r="G166" s="87"/>
      <c r="H166" s="33"/>
    </row>
    <row r="167" ht="15" customHeight="1" spans="1:8" x14ac:dyDescent="0.25">
      <c r="A167" s="124"/>
      <c r="B167" s="137"/>
      <c r="C167" s="137"/>
      <c r="D167" s="138"/>
      <c r="E167" s="37"/>
      <c r="F167" s="136"/>
      <c r="G167" s="136"/>
      <c r="H167" s="33"/>
    </row>
    <row r="168" ht="15" customHeight="1" spans="1:8" x14ac:dyDescent="0.25">
      <c r="A168" s="3" t="s">
        <v>62</v>
      </c>
      <c r="B168" s="137"/>
      <c r="C168" s="137"/>
      <c r="D168" s="138"/>
      <c r="E168" s="37"/>
      <c r="F168" s="136"/>
      <c r="G168" s="136"/>
      <c r="H168" s="33"/>
    </row>
    <row r="169" ht="15" customHeight="1" spans="1:8" x14ac:dyDescent="0.25">
      <c r="A169" s="3" t="s">
        <v>62</v>
      </c>
      <c r="B169" s="114">
        <f>[1]TUNEL!E19</f>
      </c>
      <c r="C169" s="114"/>
      <c r="D169" s="54" t="s">
        <v>22</v>
      </c>
      <c r="E169" s="54"/>
      <c r="F169" s="54"/>
      <c r="G169" s="54" t="s">
        <v>63</v>
      </c>
      <c r="H169" s="33"/>
    </row>
    <row r="170" ht="15" customHeight="1" spans="1:8" x14ac:dyDescent="0.25">
      <c r="A170" s="35" t="s">
        <v>74</v>
      </c>
      <c r="B170" s="114">
        <f>[1]TUNEL!R19</f>
      </c>
      <c r="C170" s="114"/>
      <c r="D170" s="114">
        <f>[1]TUNEL!L19</f>
      </c>
      <c r="E170" s="114"/>
      <c r="F170" s="114"/>
      <c r="G170" s="140">
        <f>[1]TUNEL!M19</f>
      </c>
      <c r="H170" s="33"/>
    </row>
    <row r="171" ht="15" customHeight="1" spans="1:8" x14ac:dyDescent="0.25">
      <c r="A171" s="35" t="s">
        <v>78</v>
      </c>
      <c r="B171" s="114"/>
      <c r="C171" s="114"/>
      <c r="D171" s="54" t="s">
        <v>64</v>
      </c>
      <c r="E171" s="54"/>
      <c r="F171" s="54"/>
      <c r="G171" s="140"/>
      <c r="H171" s="33"/>
    </row>
    <row r="172" ht="15" customHeight="1" spans="1:8" x14ac:dyDescent="0.25">
      <c r="A172" s="38"/>
      <c r="B172" s="122" t="s">
        <v>49</v>
      </c>
      <c r="C172" s="122" t="s">
        <v>50</v>
      </c>
      <c r="D172" s="37" t="s">
        <v>51</v>
      </c>
      <c r="E172" s="37"/>
      <c r="F172" s="136"/>
      <c r="G172" s="141">
        <v>0</v>
      </c>
      <c r="H172" s="33"/>
    </row>
    <row r="173" ht="15" customHeight="1" spans="1:8" x14ac:dyDescent="0.25">
      <c r="A173" s="124" t="s">
        <v>54</v>
      </c>
      <c r="B173" s="142">
        <f>[1]TUNEL!F19</f>
      </c>
      <c r="C173" s="142">
        <f>[1]TUNEL!G19</f>
      </c>
      <c r="D173" s="143">
        <f>[1]TUNEL!H19</f>
      </c>
      <c r="E173" s="37"/>
      <c r="F173" s="136"/>
      <c r="G173" s="136"/>
      <c r="H173" s="33"/>
    </row>
    <row r="174" ht="13.8" customHeight="1" spans="1:8" x14ac:dyDescent="0.25">
      <c r="A174" s="33" t="s">
        <v>65</v>
      </c>
      <c r="B174" s="33"/>
      <c r="C174" s="33"/>
      <c r="D174" s="144"/>
      <c r="E174" s="144"/>
      <c r="F174" s="145"/>
      <c r="G174" s="33"/>
      <c r="H174" s="33"/>
    </row>
    <row r="175" ht="15" customHeight="1" spans="1:8" x14ac:dyDescent="0.25">
      <c r="A175" s="167"/>
      <c r="B175" s="167"/>
      <c r="C175" s="167"/>
      <c r="D175" s="167"/>
      <c r="E175" s="167"/>
      <c r="F175" s="167"/>
      <c r="G175" s="167"/>
      <c r="H175" s="167"/>
    </row>
    <row r="176" ht="15" customHeight="1" spans="1:8" x14ac:dyDescent="0.25">
      <c r="A176" s="147"/>
      <c r="B176" s="147"/>
      <c r="C176" s="147"/>
      <c r="D176" s="147"/>
      <c r="E176" s="147"/>
      <c r="F176" s="147"/>
      <c r="G176" s="147"/>
      <c r="H176" s="147"/>
    </row>
    <row r="177" ht="13.8" customHeight="1" spans="1:8" x14ac:dyDescent="0.25">
      <c r="A177" s="148"/>
      <c r="B177" s="148"/>
      <c r="C177" s="148"/>
      <c r="D177" s="148"/>
      <c r="E177" s="148"/>
      <c r="F177" s="148"/>
      <c r="G177" s="148"/>
      <c r="H177" s="148"/>
    </row>
    <row r="178" ht="15" customHeight="1" spans="1:8" x14ac:dyDescent="0.25">
      <c r="A178" s="168"/>
      <c r="B178" s="168"/>
      <c r="C178" s="168"/>
      <c r="D178" s="169"/>
      <c r="E178" s="169"/>
      <c r="F178" s="169"/>
      <c r="G178" s="169"/>
      <c r="H178" s="170"/>
    </row>
    <row r="179" ht="15" customHeight="1" spans="1:8" x14ac:dyDescent="0.25">
      <c r="A179" s="168"/>
      <c r="B179" s="169"/>
      <c r="C179" s="169"/>
      <c r="D179" s="169"/>
      <c r="E179" s="169"/>
      <c r="F179" s="171"/>
      <c r="G179" s="171"/>
      <c r="H179" s="170"/>
    </row>
    <row r="180" ht="15" customHeight="1" spans="1:8" x14ac:dyDescent="0.25">
      <c r="A180" s="172"/>
      <c r="B180" s="172"/>
      <c r="C180" s="151"/>
      <c r="D180" s="151"/>
      <c r="E180" s="152"/>
      <c r="F180" s="151"/>
      <c r="G180" s="153"/>
      <c r="H180" s="153"/>
    </row>
    <row r="181" ht="13.8" customHeight="1" spans="1:8" x14ac:dyDescent="0.25">
      <c r="A181" s="154"/>
      <c r="B181" s="155"/>
      <c r="C181" s="156"/>
      <c r="D181" s="155"/>
      <c r="E181" s="156"/>
      <c r="F181" s="155"/>
      <c r="G181" s="156"/>
      <c r="H181" s="15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 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2026-01-26T22:53:52Z</dcterms:created>
  <dcterms:modified xsi:type="dcterms:W3CDTF">2026-01-26T22:53:52Z</dcterms:modified>
</cp:coreProperties>
</file>